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AAB01635-CBE8-4E3E-A0DD-6018BFE7F254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Dashboard" sheetId="1" r:id="rId1"/>
    <sheet name="Raw Data" sheetId="2" r:id="rId2"/>
    <sheet name="Summary" sheetId="3" r:id="rId3"/>
    <sheet name="Customer Segmentation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50" i="4" l="1"/>
  <c r="B50" i="4"/>
  <c r="C50" i="4" s="1"/>
  <c r="D49" i="4"/>
  <c r="B49" i="4"/>
  <c r="C49" i="4" s="1"/>
  <c r="D48" i="4"/>
  <c r="B48" i="4"/>
  <c r="C48" i="4" s="1"/>
  <c r="G48" i="4" s="1"/>
  <c r="D47" i="4"/>
  <c r="B47" i="4"/>
  <c r="C47" i="4" s="1"/>
  <c r="G47" i="4" s="1"/>
  <c r="D46" i="4"/>
  <c r="B46" i="4"/>
  <c r="C46" i="4" s="1"/>
  <c r="G46" i="4" s="1"/>
  <c r="D45" i="4"/>
  <c r="B45" i="4"/>
  <c r="C45" i="4" s="1"/>
  <c r="D44" i="4"/>
  <c r="B44" i="4"/>
  <c r="C44" i="4" s="1"/>
  <c r="G44" i="4" s="1"/>
  <c r="D43" i="4"/>
  <c r="B43" i="4"/>
  <c r="C43" i="4" s="1"/>
  <c r="G43" i="4" s="1"/>
  <c r="D42" i="4"/>
  <c r="B42" i="4"/>
  <c r="C42" i="4" s="1"/>
  <c r="D41" i="4"/>
  <c r="B41" i="4"/>
  <c r="C41" i="4" s="1"/>
  <c r="G41" i="4" s="1"/>
  <c r="D40" i="4"/>
  <c r="B40" i="4"/>
  <c r="C40" i="4" s="1"/>
  <c r="G40" i="4" s="1"/>
  <c r="D39" i="4"/>
  <c r="C39" i="4"/>
  <c r="F39" i="4" s="1"/>
  <c r="B39" i="4"/>
  <c r="D38" i="4"/>
  <c r="B38" i="4"/>
  <c r="C38" i="4" s="1"/>
  <c r="E37" i="4"/>
  <c r="D37" i="4"/>
  <c r="B37" i="4"/>
  <c r="C37" i="4" s="1"/>
  <c r="D36" i="4"/>
  <c r="C36" i="4"/>
  <c r="B36" i="4"/>
  <c r="D35" i="4"/>
  <c r="B35" i="4"/>
  <c r="C35" i="4" s="1"/>
  <c r="D34" i="4"/>
  <c r="B34" i="4"/>
  <c r="C34" i="4" s="1"/>
  <c r="F34" i="4" s="1"/>
  <c r="D33" i="4"/>
  <c r="C33" i="4"/>
  <c r="B33" i="4"/>
  <c r="D32" i="4"/>
  <c r="B32" i="4"/>
  <c r="C32" i="4" s="1"/>
  <c r="G32" i="4" s="1"/>
  <c r="D31" i="4"/>
  <c r="B31" i="4"/>
  <c r="C31" i="4" s="1"/>
  <c r="D30" i="4"/>
  <c r="B30" i="4"/>
  <c r="C30" i="4" s="1"/>
  <c r="G30" i="4" s="1"/>
  <c r="D29" i="4"/>
  <c r="B29" i="4"/>
  <c r="C29" i="4" s="1"/>
  <c r="G29" i="4" s="1"/>
  <c r="D28" i="4"/>
  <c r="C28" i="4"/>
  <c r="G28" i="4" s="1"/>
  <c r="B28" i="4"/>
  <c r="D27" i="4"/>
  <c r="B27" i="4"/>
  <c r="C27" i="4" s="1"/>
  <c r="D26" i="4"/>
  <c r="B26" i="4"/>
  <c r="C26" i="4" s="1"/>
  <c r="D25" i="4"/>
  <c r="B25" i="4"/>
  <c r="C25" i="4" s="1"/>
  <c r="D24" i="4"/>
  <c r="B24" i="4"/>
  <c r="C24" i="4" s="1"/>
  <c r="D23" i="4"/>
  <c r="C23" i="4"/>
  <c r="F23" i="4" s="1"/>
  <c r="B23" i="4"/>
  <c r="D22" i="4"/>
  <c r="B22" i="4"/>
  <c r="C22" i="4" s="1"/>
  <c r="D21" i="4"/>
  <c r="B21" i="4"/>
  <c r="C21" i="4" s="1"/>
  <c r="F21" i="4" s="1"/>
  <c r="D20" i="4"/>
  <c r="C20" i="4"/>
  <c r="B20" i="4"/>
  <c r="D19" i="4"/>
  <c r="B19" i="4"/>
  <c r="C19" i="4" s="1"/>
  <c r="G19" i="4" s="1"/>
  <c r="D18" i="4"/>
  <c r="B18" i="4"/>
  <c r="C18" i="4" s="1"/>
  <c r="F18" i="4" s="1"/>
  <c r="E17" i="4"/>
  <c r="D17" i="4"/>
  <c r="B17" i="4"/>
  <c r="C17" i="4" s="1"/>
  <c r="G17" i="4" s="1"/>
  <c r="D16" i="4"/>
  <c r="B16" i="4"/>
  <c r="C16" i="4" s="1"/>
  <c r="G16" i="4" s="1"/>
  <c r="D15" i="4"/>
  <c r="C15" i="4"/>
  <c r="G15" i="4" s="1"/>
  <c r="B15" i="4"/>
  <c r="D14" i="4"/>
  <c r="B14" i="4"/>
  <c r="C14" i="4" s="1"/>
  <c r="D13" i="4"/>
  <c r="B13" i="4"/>
  <c r="C13" i="4" s="1"/>
  <c r="D12" i="4"/>
  <c r="C12" i="4"/>
  <c r="B12" i="4"/>
  <c r="D11" i="4"/>
  <c r="C11" i="4"/>
  <c r="B11" i="4"/>
  <c r="D10" i="4"/>
  <c r="B10" i="4"/>
  <c r="C10" i="4" s="1"/>
  <c r="F10" i="4" s="1"/>
  <c r="D9" i="4"/>
  <c r="B9" i="4"/>
  <c r="C9" i="4" s="1"/>
  <c r="D8" i="4"/>
  <c r="B8" i="4"/>
  <c r="C8" i="4" s="1"/>
  <c r="E7" i="4"/>
  <c r="D7" i="4"/>
  <c r="C7" i="4"/>
  <c r="B7" i="4"/>
  <c r="D6" i="4"/>
  <c r="B6" i="4"/>
  <c r="C6" i="4" s="1"/>
  <c r="G6" i="4" s="1"/>
  <c r="C47" i="3"/>
  <c r="C46" i="3"/>
  <c r="C45" i="3"/>
  <c r="C44" i="3"/>
  <c r="C43" i="3"/>
  <c r="C42" i="3"/>
  <c r="C41" i="3"/>
  <c r="C40" i="3"/>
  <c r="C39" i="3"/>
  <c r="C38" i="3"/>
  <c r="C37" i="3"/>
  <c r="C36" i="3"/>
  <c r="C35" i="3"/>
  <c r="C34" i="3"/>
  <c r="C33" i="3"/>
  <c r="D19" i="3"/>
  <c r="D18" i="3"/>
  <c r="D17" i="3"/>
  <c r="D16" i="3"/>
  <c r="L222" i="2"/>
  <c r="K222" i="2"/>
  <c r="M222" i="2" s="1"/>
  <c r="C222" i="2"/>
  <c r="L221" i="2"/>
  <c r="K221" i="2"/>
  <c r="M221" i="2" s="1"/>
  <c r="C221" i="2"/>
  <c r="L220" i="2"/>
  <c r="K220" i="2"/>
  <c r="M220" i="2" s="1"/>
  <c r="C220" i="2"/>
  <c r="M219" i="2"/>
  <c r="L219" i="2"/>
  <c r="K219" i="2"/>
  <c r="C219" i="2"/>
  <c r="L218" i="2"/>
  <c r="K218" i="2"/>
  <c r="M218" i="2" s="1"/>
  <c r="C218" i="2"/>
  <c r="L217" i="2"/>
  <c r="K217" i="2"/>
  <c r="C217" i="2"/>
  <c r="L216" i="2"/>
  <c r="M216" i="2" s="1"/>
  <c r="K216" i="2"/>
  <c r="C216" i="2"/>
  <c r="L215" i="2"/>
  <c r="K215" i="2"/>
  <c r="M215" i="2" s="1"/>
  <c r="C215" i="2"/>
  <c r="L214" i="2"/>
  <c r="K214" i="2"/>
  <c r="M214" i="2" s="1"/>
  <c r="C214" i="2"/>
  <c r="L213" i="2"/>
  <c r="K213" i="2"/>
  <c r="M213" i="2" s="1"/>
  <c r="C213" i="2"/>
  <c r="L212" i="2"/>
  <c r="K212" i="2"/>
  <c r="M212" i="2" s="1"/>
  <c r="C212" i="2"/>
  <c r="L211" i="2"/>
  <c r="K211" i="2"/>
  <c r="M211" i="2" s="1"/>
  <c r="C211" i="2"/>
  <c r="L210" i="2"/>
  <c r="K210" i="2"/>
  <c r="M210" i="2" s="1"/>
  <c r="C210" i="2"/>
  <c r="L209" i="2"/>
  <c r="K209" i="2"/>
  <c r="M209" i="2" s="1"/>
  <c r="C209" i="2"/>
  <c r="L208" i="2"/>
  <c r="K208" i="2"/>
  <c r="M208" i="2" s="1"/>
  <c r="C208" i="2"/>
  <c r="M207" i="2"/>
  <c r="L207" i="2"/>
  <c r="K207" i="2"/>
  <c r="C207" i="2"/>
  <c r="M206" i="2"/>
  <c r="L206" i="2"/>
  <c r="K206" i="2"/>
  <c r="C206" i="2"/>
  <c r="L205" i="2"/>
  <c r="K205" i="2"/>
  <c r="M205" i="2" s="1"/>
  <c r="C205" i="2"/>
  <c r="M204" i="2"/>
  <c r="L204" i="2"/>
  <c r="K204" i="2"/>
  <c r="C204" i="2"/>
  <c r="L203" i="2"/>
  <c r="M203" i="2" s="1"/>
  <c r="K203" i="2"/>
  <c r="C203" i="2"/>
  <c r="L202" i="2"/>
  <c r="K202" i="2"/>
  <c r="M202" i="2" s="1"/>
  <c r="C202" i="2"/>
  <c r="L201" i="2"/>
  <c r="M201" i="2" s="1"/>
  <c r="K201" i="2"/>
  <c r="C201" i="2"/>
  <c r="L200" i="2"/>
  <c r="K200" i="2"/>
  <c r="M200" i="2" s="1"/>
  <c r="C200" i="2"/>
  <c r="L199" i="2"/>
  <c r="K199" i="2"/>
  <c r="M199" i="2" s="1"/>
  <c r="C199" i="2"/>
  <c r="L198" i="2"/>
  <c r="K198" i="2"/>
  <c r="M198" i="2" s="1"/>
  <c r="C198" i="2"/>
  <c r="L197" i="2"/>
  <c r="K197" i="2"/>
  <c r="M197" i="2" s="1"/>
  <c r="C197" i="2"/>
  <c r="L196" i="2"/>
  <c r="K196" i="2"/>
  <c r="M196" i="2" s="1"/>
  <c r="C196" i="2"/>
  <c r="L195" i="2"/>
  <c r="K195" i="2"/>
  <c r="M195" i="2" s="1"/>
  <c r="C195" i="2"/>
  <c r="M194" i="2"/>
  <c r="L194" i="2"/>
  <c r="K194" i="2"/>
  <c r="C194" i="2"/>
  <c r="L193" i="2"/>
  <c r="K193" i="2"/>
  <c r="C193" i="2"/>
  <c r="L192" i="2"/>
  <c r="K192" i="2"/>
  <c r="M192" i="2" s="1"/>
  <c r="C192" i="2"/>
  <c r="L191" i="2"/>
  <c r="M191" i="2" s="1"/>
  <c r="K191" i="2"/>
  <c r="C191" i="2"/>
  <c r="L190" i="2"/>
  <c r="K190" i="2"/>
  <c r="M190" i="2" s="1"/>
  <c r="C190" i="2"/>
  <c r="L189" i="2"/>
  <c r="K189" i="2"/>
  <c r="M189" i="2" s="1"/>
  <c r="C189" i="2"/>
  <c r="L188" i="2"/>
  <c r="K188" i="2"/>
  <c r="M188" i="2" s="1"/>
  <c r="C188" i="2"/>
  <c r="L187" i="2"/>
  <c r="K187" i="2"/>
  <c r="M187" i="2" s="1"/>
  <c r="C187" i="2"/>
  <c r="L186" i="2"/>
  <c r="K186" i="2"/>
  <c r="M186" i="2" s="1"/>
  <c r="C186" i="2"/>
  <c r="L185" i="2"/>
  <c r="K185" i="2"/>
  <c r="M185" i="2" s="1"/>
  <c r="C185" i="2"/>
  <c r="L184" i="2"/>
  <c r="K184" i="2"/>
  <c r="M184" i="2" s="1"/>
  <c r="C184" i="2"/>
  <c r="M183" i="2"/>
  <c r="L183" i="2"/>
  <c r="K183" i="2"/>
  <c r="C183" i="2"/>
  <c r="L182" i="2"/>
  <c r="K182" i="2"/>
  <c r="M182" i="2" s="1"/>
  <c r="C182" i="2"/>
  <c r="L181" i="2"/>
  <c r="K181" i="2"/>
  <c r="C181" i="2"/>
  <c r="L180" i="2"/>
  <c r="M180" i="2" s="1"/>
  <c r="K180" i="2"/>
  <c r="C180" i="2"/>
  <c r="L179" i="2"/>
  <c r="K179" i="2"/>
  <c r="M179" i="2" s="1"/>
  <c r="C179" i="2"/>
  <c r="L178" i="2"/>
  <c r="K178" i="2"/>
  <c r="M178" i="2" s="1"/>
  <c r="C178" i="2"/>
  <c r="L177" i="2"/>
  <c r="K177" i="2"/>
  <c r="M177" i="2" s="1"/>
  <c r="C177" i="2"/>
  <c r="L176" i="2"/>
  <c r="K176" i="2"/>
  <c r="M176" i="2" s="1"/>
  <c r="C176" i="2"/>
  <c r="L175" i="2"/>
  <c r="K175" i="2"/>
  <c r="M175" i="2" s="1"/>
  <c r="C175" i="2"/>
  <c r="L174" i="2"/>
  <c r="K174" i="2"/>
  <c r="M174" i="2" s="1"/>
  <c r="C174" i="2"/>
  <c r="L173" i="2"/>
  <c r="K173" i="2"/>
  <c r="M173" i="2" s="1"/>
  <c r="C173" i="2"/>
  <c r="L172" i="2"/>
  <c r="K172" i="2"/>
  <c r="C172" i="2"/>
  <c r="M171" i="2"/>
  <c r="L171" i="2"/>
  <c r="K171" i="2"/>
  <c r="C171" i="2"/>
  <c r="M170" i="2"/>
  <c r="L170" i="2"/>
  <c r="K170" i="2"/>
  <c r="C170" i="2"/>
  <c r="L169" i="2"/>
  <c r="K169" i="2"/>
  <c r="C169" i="2"/>
  <c r="L168" i="2"/>
  <c r="M168" i="2" s="1"/>
  <c r="K168" i="2"/>
  <c r="C168" i="2"/>
  <c r="L167" i="2"/>
  <c r="M167" i="2" s="1"/>
  <c r="K167" i="2"/>
  <c r="C167" i="2"/>
  <c r="L166" i="2"/>
  <c r="K166" i="2"/>
  <c r="M166" i="2" s="1"/>
  <c r="C166" i="2"/>
  <c r="L165" i="2"/>
  <c r="K165" i="2"/>
  <c r="M165" i="2" s="1"/>
  <c r="C165" i="2"/>
  <c r="L164" i="2"/>
  <c r="K164" i="2"/>
  <c r="M164" i="2" s="1"/>
  <c r="C164" i="2"/>
  <c r="L163" i="2"/>
  <c r="K163" i="2"/>
  <c r="M163" i="2" s="1"/>
  <c r="C163" i="2"/>
  <c r="M162" i="2"/>
  <c r="L162" i="2"/>
  <c r="K162" i="2"/>
  <c r="C162" i="2"/>
  <c r="L161" i="2"/>
  <c r="K161" i="2"/>
  <c r="M161" i="2" s="1"/>
  <c r="C161" i="2"/>
  <c r="L160" i="2"/>
  <c r="K160" i="2"/>
  <c r="M160" i="2" s="1"/>
  <c r="C160" i="2"/>
  <c r="L159" i="2"/>
  <c r="K159" i="2"/>
  <c r="M159" i="2" s="1"/>
  <c r="C159" i="2"/>
  <c r="M158" i="2"/>
  <c r="L158" i="2"/>
  <c r="K158" i="2"/>
  <c r="C158" i="2"/>
  <c r="L157" i="2"/>
  <c r="K157" i="2"/>
  <c r="C157" i="2"/>
  <c r="L156" i="2"/>
  <c r="K156" i="2"/>
  <c r="E15" i="4" s="1"/>
  <c r="C156" i="2"/>
  <c r="L155" i="2"/>
  <c r="M155" i="2" s="1"/>
  <c r="K155" i="2"/>
  <c r="C155" i="2"/>
  <c r="L154" i="2"/>
  <c r="K154" i="2"/>
  <c r="M154" i="2" s="1"/>
  <c r="C154" i="2"/>
  <c r="L153" i="2"/>
  <c r="K153" i="2"/>
  <c r="M153" i="2" s="1"/>
  <c r="C153" i="2"/>
  <c r="L152" i="2"/>
  <c r="M152" i="2" s="1"/>
  <c r="K152" i="2"/>
  <c r="C152" i="2"/>
  <c r="L151" i="2"/>
  <c r="K151" i="2"/>
  <c r="M151" i="2" s="1"/>
  <c r="C151" i="2"/>
  <c r="L150" i="2"/>
  <c r="K150" i="2"/>
  <c r="M150" i="2" s="1"/>
  <c r="C150" i="2"/>
  <c r="L149" i="2"/>
  <c r="K149" i="2"/>
  <c r="M149" i="2" s="1"/>
  <c r="C149" i="2"/>
  <c r="L148" i="2"/>
  <c r="K148" i="2"/>
  <c r="M148" i="2" s="1"/>
  <c r="C148" i="2"/>
  <c r="M147" i="2"/>
  <c r="L147" i="2"/>
  <c r="K147" i="2"/>
  <c r="C147" i="2"/>
  <c r="L146" i="2"/>
  <c r="K146" i="2"/>
  <c r="M146" i="2" s="1"/>
  <c r="C146" i="2"/>
  <c r="L145" i="2"/>
  <c r="K145" i="2"/>
  <c r="C145" i="2"/>
  <c r="L144" i="2"/>
  <c r="M144" i="2" s="1"/>
  <c r="K144" i="2"/>
  <c r="C144" i="2"/>
  <c r="L143" i="2"/>
  <c r="K143" i="2"/>
  <c r="M143" i="2" s="1"/>
  <c r="C143" i="2"/>
  <c r="L142" i="2"/>
  <c r="K142" i="2"/>
  <c r="M142" i="2" s="1"/>
  <c r="C142" i="2"/>
  <c r="L141" i="2"/>
  <c r="K141" i="2"/>
  <c r="M141" i="2" s="1"/>
  <c r="C141" i="2"/>
  <c r="L140" i="2"/>
  <c r="K140" i="2"/>
  <c r="M140" i="2" s="1"/>
  <c r="C140" i="2"/>
  <c r="L139" i="2"/>
  <c r="K139" i="2"/>
  <c r="M139" i="2" s="1"/>
  <c r="C139" i="2"/>
  <c r="L138" i="2"/>
  <c r="K138" i="2"/>
  <c r="M138" i="2" s="1"/>
  <c r="C138" i="2"/>
  <c r="L137" i="2"/>
  <c r="K137" i="2"/>
  <c r="M137" i="2" s="1"/>
  <c r="C137" i="2"/>
  <c r="L136" i="2"/>
  <c r="K136" i="2"/>
  <c r="M136" i="2" s="1"/>
  <c r="C136" i="2"/>
  <c r="M135" i="2"/>
  <c r="L135" i="2"/>
  <c r="K135" i="2"/>
  <c r="C135" i="2"/>
  <c r="M134" i="2"/>
  <c r="L134" i="2"/>
  <c r="K134" i="2"/>
  <c r="C134" i="2"/>
  <c r="L133" i="2"/>
  <c r="K133" i="2"/>
  <c r="M133" i="2" s="1"/>
  <c r="C133" i="2"/>
  <c r="L132" i="2"/>
  <c r="M132" i="2" s="1"/>
  <c r="K132" i="2"/>
  <c r="C132" i="2"/>
  <c r="L131" i="2"/>
  <c r="M131" i="2" s="1"/>
  <c r="K131" i="2"/>
  <c r="C131" i="2"/>
  <c r="L130" i="2"/>
  <c r="K130" i="2"/>
  <c r="M130" i="2" s="1"/>
  <c r="C130" i="2"/>
  <c r="L129" i="2"/>
  <c r="K129" i="2"/>
  <c r="M129" i="2" s="1"/>
  <c r="C129" i="2"/>
  <c r="L128" i="2"/>
  <c r="K128" i="2"/>
  <c r="M128" i="2" s="1"/>
  <c r="C128" i="2"/>
  <c r="L127" i="2"/>
  <c r="K127" i="2"/>
  <c r="M127" i="2" s="1"/>
  <c r="C127" i="2"/>
  <c r="L126" i="2"/>
  <c r="K126" i="2"/>
  <c r="M126" i="2" s="1"/>
  <c r="C126" i="2"/>
  <c r="L125" i="2"/>
  <c r="K125" i="2"/>
  <c r="M125" i="2" s="1"/>
  <c r="C125" i="2"/>
  <c r="L124" i="2"/>
  <c r="K124" i="2"/>
  <c r="M124" i="2" s="1"/>
  <c r="C124" i="2"/>
  <c r="L123" i="2"/>
  <c r="K123" i="2"/>
  <c r="M123" i="2" s="1"/>
  <c r="C123" i="2"/>
  <c r="M122" i="2"/>
  <c r="L122" i="2"/>
  <c r="K122" i="2"/>
  <c r="C122" i="2"/>
  <c r="L121" i="2"/>
  <c r="K121" i="2"/>
  <c r="C121" i="2"/>
  <c r="L120" i="2"/>
  <c r="K120" i="2"/>
  <c r="M120" i="2" s="1"/>
  <c r="C120" i="2"/>
  <c r="L119" i="2"/>
  <c r="M119" i="2" s="1"/>
  <c r="K119" i="2"/>
  <c r="C119" i="2"/>
  <c r="L118" i="2"/>
  <c r="K118" i="2"/>
  <c r="M118" i="2" s="1"/>
  <c r="C118" i="2"/>
  <c r="L117" i="2"/>
  <c r="K117" i="2"/>
  <c r="C117" i="2"/>
  <c r="L116" i="2"/>
  <c r="K116" i="2"/>
  <c r="M116" i="2" s="1"/>
  <c r="C116" i="2"/>
  <c r="L115" i="2"/>
  <c r="K115" i="2"/>
  <c r="M115" i="2" s="1"/>
  <c r="C115" i="2"/>
  <c r="L114" i="2"/>
  <c r="K114" i="2"/>
  <c r="M114" i="2" s="1"/>
  <c r="C114" i="2"/>
  <c r="L113" i="2"/>
  <c r="K113" i="2"/>
  <c r="M113" i="2" s="1"/>
  <c r="C113" i="2"/>
  <c r="L112" i="2"/>
  <c r="K112" i="2"/>
  <c r="M112" i="2" s="1"/>
  <c r="C112" i="2"/>
  <c r="M111" i="2"/>
  <c r="L111" i="2"/>
  <c r="K111" i="2"/>
  <c r="C111" i="2"/>
  <c r="M110" i="2"/>
  <c r="L110" i="2"/>
  <c r="K110" i="2"/>
  <c r="C110" i="2"/>
  <c r="L109" i="2"/>
  <c r="K109" i="2"/>
  <c r="C109" i="2"/>
  <c r="L108" i="2"/>
  <c r="M108" i="2" s="1"/>
  <c r="K108" i="2"/>
  <c r="C108" i="2"/>
  <c r="L107" i="2"/>
  <c r="M107" i="2" s="1"/>
  <c r="K107" i="2"/>
  <c r="C107" i="2"/>
  <c r="L106" i="2"/>
  <c r="K106" i="2"/>
  <c r="M106" i="2" s="1"/>
  <c r="C106" i="2"/>
  <c r="L105" i="2"/>
  <c r="K105" i="2"/>
  <c r="M105" i="2" s="1"/>
  <c r="C105" i="2"/>
  <c r="L104" i="2"/>
  <c r="K104" i="2"/>
  <c r="M104" i="2" s="1"/>
  <c r="C104" i="2"/>
  <c r="L103" i="2"/>
  <c r="K103" i="2"/>
  <c r="C103" i="2"/>
  <c r="L102" i="2"/>
  <c r="K102" i="2"/>
  <c r="M102" i="2" s="1"/>
  <c r="C102" i="2"/>
  <c r="L101" i="2"/>
  <c r="K101" i="2"/>
  <c r="M101" i="2" s="1"/>
  <c r="C101" i="2"/>
  <c r="L100" i="2"/>
  <c r="K100" i="2"/>
  <c r="M100" i="2" s="1"/>
  <c r="C100" i="2"/>
  <c r="M99" i="2"/>
  <c r="L99" i="2"/>
  <c r="K99" i="2"/>
  <c r="C99" i="2"/>
  <c r="M98" i="2"/>
  <c r="L98" i="2"/>
  <c r="K98" i="2"/>
  <c r="C98" i="2"/>
  <c r="L97" i="2"/>
  <c r="K97" i="2"/>
  <c r="M97" i="2" s="1"/>
  <c r="C97" i="2"/>
  <c r="L96" i="2"/>
  <c r="M96" i="2" s="1"/>
  <c r="K96" i="2"/>
  <c r="C96" i="2"/>
  <c r="L95" i="2"/>
  <c r="M95" i="2" s="1"/>
  <c r="K95" i="2"/>
  <c r="C95" i="2"/>
  <c r="L94" i="2"/>
  <c r="K94" i="2"/>
  <c r="M94" i="2" s="1"/>
  <c r="C94" i="2"/>
  <c r="L93" i="2"/>
  <c r="K93" i="2"/>
  <c r="M93" i="2" s="1"/>
  <c r="C93" i="2"/>
  <c r="L92" i="2"/>
  <c r="K92" i="2"/>
  <c r="M92" i="2" s="1"/>
  <c r="C92" i="2"/>
  <c r="L91" i="2"/>
  <c r="K91" i="2"/>
  <c r="M91" i="2" s="1"/>
  <c r="C91" i="2"/>
  <c r="L90" i="2"/>
  <c r="K90" i="2"/>
  <c r="M90" i="2" s="1"/>
  <c r="C90" i="2"/>
  <c r="L89" i="2"/>
  <c r="K89" i="2"/>
  <c r="M89" i="2" s="1"/>
  <c r="C89" i="2"/>
  <c r="L88" i="2"/>
  <c r="K88" i="2"/>
  <c r="M88" i="2" s="1"/>
  <c r="C88" i="2"/>
  <c r="L87" i="2"/>
  <c r="K87" i="2"/>
  <c r="M87" i="2" s="1"/>
  <c r="C87" i="2"/>
  <c r="M86" i="2"/>
  <c r="L86" i="2"/>
  <c r="K86" i="2"/>
  <c r="C86" i="2"/>
  <c r="L85" i="2"/>
  <c r="K85" i="2"/>
  <c r="C85" i="2"/>
  <c r="L84" i="2"/>
  <c r="K84" i="2"/>
  <c r="M84" i="2" s="1"/>
  <c r="C84" i="2"/>
  <c r="L83" i="2"/>
  <c r="M83" i="2" s="1"/>
  <c r="K83" i="2"/>
  <c r="C83" i="2"/>
  <c r="L82" i="2"/>
  <c r="K82" i="2"/>
  <c r="M82" i="2" s="1"/>
  <c r="C82" i="2"/>
  <c r="L81" i="2"/>
  <c r="K81" i="2"/>
  <c r="M81" i="2" s="1"/>
  <c r="C81" i="2"/>
  <c r="L80" i="2"/>
  <c r="K80" i="2"/>
  <c r="E30" i="4" s="1"/>
  <c r="C80" i="2"/>
  <c r="L79" i="2"/>
  <c r="K79" i="2"/>
  <c r="M79" i="2" s="1"/>
  <c r="C79" i="2"/>
  <c r="L78" i="2"/>
  <c r="K78" i="2"/>
  <c r="M78" i="2" s="1"/>
  <c r="C78" i="2"/>
  <c r="L77" i="2"/>
  <c r="K77" i="2"/>
  <c r="M77" i="2" s="1"/>
  <c r="C77" i="2"/>
  <c r="L76" i="2"/>
  <c r="K76" i="2"/>
  <c r="M76" i="2" s="1"/>
  <c r="C76" i="2"/>
  <c r="M75" i="2"/>
  <c r="L75" i="2"/>
  <c r="K75" i="2"/>
  <c r="C75" i="2"/>
  <c r="L74" i="2"/>
  <c r="K74" i="2"/>
  <c r="M74" i="2" s="1"/>
  <c r="C74" i="2"/>
  <c r="L73" i="2"/>
  <c r="K73" i="2"/>
  <c r="C73" i="2"/>
  <c r="L72" i="2"/>
  <c r="M72" i="2" s="1"/>
  <c r="K72" i="2"/>
  <c r="C72" i="2"/>
  <c r="L71" i="2"/>
  <c r="K71" i="2"/>
  <c r="M71" i="2" s="1"/>
  <c r="C71" i="2"/>
  <c r="L70" i="2"/>
  <c r="K70" i="2"/>
  <c r="M70" i="2" s="1"/>
  <c r="C70" i="2"/>
  <c r="L69" i="2"/>
  <c r="K69" i="2"/>
  <c r="C69" i="2"/>
  <c r="L68" i="2"/>
  <c r="K68" i="2"/>
  <c r="M68" i="2" s="1"/>
  <c r="C68" i="2"/>
  <c r="L67" i="2"/>
  <c r="K67" i="2"/>
  <c r="M67" i="2" s="1"/>
  <c r="C67" i="2"/>
  <c r="L66" i="2"/>
  <c r="K66" i="2"/>
  <c r="C66" i="2"/>
  <c r="L65" i="2"/>
  <c r="K65" i="2"/>
  <c r="M65" i="2" s="1"/>
  <c r="C65" i="2"/>
  <c r="L64" i="2"/>
  <c r="K64" i="2"/>
  <c r="M64" i="2" s="1"/>
  <c r="C64" i="2"/>
  <c r="M63" i="2"/>
  <c r="L63" i="2"/>
  <c r="K63" i="2"/>
  <c r="E23" i="4" s="1"/>
  <c r="C63" i="2"/>
  <c r="M62" i="2"/>
  <c r="L62" i="2"/>
  <c r="K62" i="2"/>
  <c r="C62" i="2"/>
  <c r="L61" i="2"/>
  <c r="K61" i="2"/>
  <c r="C61" i="2"/>
  <c r="L60" i="2"/>
  <c r="M60" i="2" s="1"/>
  <c r="K60" i="2"/>
  <c r="C60" i="2"/>
  <c r="L59" i="2"/>
  <c r="M59" i="2" s="1"/>
  <c r="K59" i="2"/>
  <c r="C59" i="2"/>
  <c r="L58" i="2"/>
  <c r="K58" i="2"/>
  <c r="B44" i="3" s="1"/>
  <c r="C58" i="2"/>
  <c r="L57" i="2"/>
  <c r="K57" i="2"/>
  <c r="M57" i="2" s="1"/>
  <c r="C57" i="2"/>
  <c r="L56" i="2"/>
  <c r="K56" i="2"/>
  <c r="M56" i="2" s="1"/>
  <c r="C56" i="2"/>
  <c r="L55" i="2"/>
  <c r="K55" i="2"/>
  <c r="M55" i="2" s="1"/>
  <c r="C55" i="2"/>
  <c r="M54" i="2"/>
  <c r="L54" i="2"/>
  <c r="K54" i="2"/>
  <c r="C54" i="2"/>
  <c r="L53" i="2"/>
  <c r="K53" i="2"/>
  <c r="C53" i="2"/>
  <c r="L52" i="2"/>
  <c r="K52" i="2"/>
  <c r="M52" i="2" s="1"/>
  <c r="C52" i="2"/>
  <c r="L51" i="2"/>
  <c r="K51" i="2"/>
  <c r="E31" i="4" s="1"/>
  <c r="C51" i="2"/>
  <c r="M50" i="2"/>
  <c r="L50" i="2"/>
  <c r="K50" i="2"/>
  <c r="C50" i="2"/>
  <c r="L49" i="2"/>
  <c r="K49" i="2"/>
  <c r="C49" i="2"/>
  <c r="L48" i="2"/>
  <c r="K48" i="2"/>
  <c r="M48" i="2" s="1"/>
  <c r="C48" i="2"/>
  <c r="L47" i="2"/>
  <c r="M47" i="2" s="1"/>
  <c r="K47" i="2"/>
  <c r="C47" i="2"/>
  <c r="L46" i="2"/>
  <c r="K46" i="2"/>
  <c r="M46" i="2" s="1"/>
  <c r="C46" i="2"/>
  <c r="L45" i="2"/>
  <c r="K45" i="2"/>
  <c r="M45" i="2" s="1"/>
  <c r="C45" i="2"/>
  <c r="L44" i="2"/>
  <c r="M44" i="2" s="1"/>
  <c r="K44" i="2"/>
  <c r="C44" i="2"/>
  <c r="L43" i="2"/>
  <c r="K43" i="2"/>
  <c r="M43" i="2" s="1"/>
  <c r="C43" i="2"/>
  <c r="L42" i="2"/>
  <c r="K42" i="2"/>
  <c r="M42" i="2" s="1"/>
  <c r="C42" i="2"/>
  <c r="L41" i="2"/>
  <c r="K41" i="2"/>
  <c r="B42" i="3" s="1"/>
  <c r="C41" i="2"/>
  <c r="L40" i="2"/>
  <c r="K40" i="2"/>
  <c r="C40" i="2"/>
  <c r="M39" i="2"/>
  <c r="L39" i="2"/>
  <c r="K39" i="2"/>
  <c r="C39" i="2"/>
  <c r="L38" i="2"/>
  <c r="K38" i="2"/>
  <c r="C38" i="2"/>
  <c r="L37" i="2"/>
  <c r="K37" i="2"/>
  <c r="C37" i="2"/>
  <c r="L36" i="2"/>
  <c r="M36" i="2" s="1"/>
  <c r="K36" i="2"/>
  <c r="C36" i="2"/>
  <c r="L35" i="2"/>
  <c r="K35" i="2"/>
  <c r="E8" i="4" s="1"/>
  <c r="C35" i="2"/>
  <c r="L34" i="2"/>
  <c r="K34" i="2"/>
  <c r="C34" i="2"/>
  <c r="L33" i="2"/>
  <c r="K33" i="2"/>
  <c r="M33" i="2" s="1"/>
  <c r="C33" i="2"/>
  <c r="L32" i="2"/>
  <c r="K32" i="2"/>
  <c r="C32" i="2"/>
  <c r="L31" i="2"/>
  <c r="K31" i="2"/>
  <c r="C31" i="2"/>
  <c r="L30" i="2"/>
  <c r="K30" i="2"/>
  <c r="M30" i="2" s="1"/>
  <c r="C30" i="2"/>
  <c r="L29" i="2"/>
  <c r="K29" i="2"/>
  <c r="M29" i="2" s="1"/>
  <c r="C29" i="2"/>
  <c r="L28" i="2"/>
  <c r="K28" i="2"/>
  <c r="C28" i="2"/>
  <c r="M27" i="2"/>
  <c r="L27" i="2"/>
  <c r="K27" i="2"/>
  <c r="C27" i="2"/>
  <c r="M26" i="2"/>
  <c r="L26" i="2"/>
  <c r="K26" i="2"/>
  <c r="C26" i="2"/>
  <c r="L25" i="2"/>
  <c r="K25" i="2"/>
  <c r="M25" i="2" s="1"/>
  <c r="C25" i="2"/>
  <c r="L24" i="2"/>
  <c r="M24" i="2" s="1"/>
  <c r="K24" i="2"/>
  <c r="C24" i="2"/>
  <c r="L23" i="2"/>
  <c r="M23" i="2" s="1"/>
  <c r="K23" i="2"/>
  <c r="C23" i="2"/>
  <c r="L22" i="2"/>
  <c r="K22" i="2"/>
  <c r="C22" i="2"/>
  <c r="L21" i="2"/>
  <c r="K21" i="2"/>
  <c r="E47" i="4" s="1"/>
  <c r="C21" i="2"/>
  <c r="L20" i="2"/>
  <c r="K20" i="2"/>
  <c r="C20" i="2"/>
  <c r="L19" i="2"/>
  <c r="K19" i="2"/>
  <c r="M19" i="2" s="1"/>
  <c r="C19" i="2"/>
  <c r="L18" i="2"/>
  <c r="K18" i="2"/>
  <c r="C18" i="2"/>
  <c r="L17" i="2"/>
  <c r="K17" i="2"/>
  <c r="C17" i="2"/>
  <c r="L16" i="2"/>
  <c r="K16" i="2"/>
  <c r="M16" i="2" s="1"/>
  <c r="C16" i="2"/>
  <c r="L15" i="2"/>
  <c r="K15" i="2"/>
  <c r="C15" i="2"/>
  <c r="M14" i="2"/>
  <c r="L14" i="2"/>
  <c r="K14" i="2"/>
  <c r="E14" i="4" s="1"/>
  <c r="C14" i="2"/>
  <c r="L13" i="2"/>
  <c r="K13" i="2"/>
  <c r="C13" i="2"/>
  <c r="L12" i="2"/>
  <c r="K12" i="2"/>
  <c r="C12" i="2"/>
  <c r="L11" i="2"/>
  <c r="M11" i="2" s="1"/>
  <c r="K11" i="2"/>
  <c r="C11" i="2"/>
  <c r="L10" i="2"/>
  <c r="K10" i="2"/>
  <c r="M10" i="2" s="1"/>
  <c r="C10" i="2"/>
  <c r="L9" i="2"/>
  <c r="K9" i="2"/>
  <c r="C9" i="2"/>
  <c r="L8" i="2"/>
  <c r="K8" i="2"/>
  <c r="E19" i="4" s="1"/>
  <c r="C8" i="2"/>
  <c r="L7" i="2"/>
  <c r="K7" i="2"/>
  <c r="C7" i="2"/>
  <c r="L6" i="2"/>
  <c r="K6" i="2"/>
  <c r="C6" i="2"/>
  <c r="L5" i="2"/>
  <c r="K5" i="2"/>
  <c r="C5" i="2"/>
  <c r="L4" i="2"/>
  <c r="K4" i="2"/>
  <c r="C4" i="2"/>
  <c r="M3" i="2"/>
  <c r="L3" i="2"/>
  <c r="K3" i="2"/>
  <c r="C3" i="2"/>
  <c r="D10" i="3" s="1"/>
  <c r="M2" i="2"/>
  <c r="L2" i="2"/>
  <c r="K2" i="2"/>
  <c r="C2" i="2"/>
  <c r="F6" i="1"/>
  <c r="F17" i="4" l="1"/>
  <c r="G23" i="4"/>
  <c r="F43" i="4"/>
  <c r="F48" i="4"/>
  <c r="F30" i="4"/>
  <c r="G39" i="4"/>
  <c r="G37" i="4"/>
  <c r="F37" i="4"/>
  <c r="G9" i="4"/>
  <c r="F9" i="4"/>
  <c r="G13" i="4"/>
  <c r="F13" i="4"/>
  <c r="G24" i="4"/>
  <c r="F24" i="4"/>
  <c r="G35" i="4"/>
  <c r="F35" i="4"/>
  <c r="G26" i="4"/>
  <c r="F26" i="4"/>
  <c r="G22" i="4"/>
  <c r="F22" i="4"/>
  <c r="G49" i="4"/>
  <c r="F49" i="4"/>
  <c r="F31" i="4"/>
  <c r="G31" i="4"/>
  <c r="M34" i="2"/>
  <c r="E6" i="4"/>
  <c r="G20" i="4"/>
  <c r="F20" i="4"/>
  <c r="G27" i="4"/>
  <c r="F27" i="4"/>
  <c r="G33" i="4"/>
  <c r="F33" i="4"/>
  <c r="E24" i="4"/>
  <c r="M6" i="2"/>
  <c r="M20" i="2"/>
  <c r="E49" i="4"/>
  <c r="M69" i="2"/>
  <c r="C8" i="3" s="1"/>
  <c r="E45" i="4"/>
  <c r="E28" i="4"/>
  <c r="E27" i="4"/>
  <c r="M156" i="2"/>
  <c r="C27" i="3" s="1"/>
  <c r="M7" i="2"/>
  <c r="B25" i="3"/>
  <c r="B34" i="3"/>
  <c r="M38" i="2"/>
  <c r="M35" i="2"/>
  <c r="B38" i="3"/>
  <c r="F15" i="4"/>
  <c r="G18" i="4"/>
  <c r="G21" i="4"/>
  <c r="G25" i="4"/>
  <c r="F25" i="4"/>
  <c r="G38" i="4"/>
  <c r="F38" i="4"/>
  <c r="B27" i="3"/>
  <c r="E16" i="4"/>
  <c r="M58" i="2"/>
  <c r="G11" i="4"/>
  <c r="F11" i="4"/>
  <c r="G8" i="4"/>
  <c r="F8" i="4"/>
  <c r="M51" i="2"/>
  <c r="F47" i="4"/>
  <c r="B33" i="3"/>
  <c r="M17" i="2"/>
  <c r="M31" i="2"/>
  <c r="E25" i="4"/>
  <c r="B37" i="3"/>
  <c r="B46" i="3"/>
  <c r="M66" i="2"/>
  <c r="B36" i="3"/>
  <c r="E29" i="4"/>
  <c r="G12" i="4"/>
  <c r="F12" i="4"/>
  <c r="B26" i="3"/>
  <c r="F44" i="4"/>
  <c r="B19" i="3"/>
  <c r="M21" i="2"/>
  <c r="E10" i="4"/>
  <c r="M28" i="2"/>
  <c r="B40" i="3"/>
  <c r="B9" i="3"/>
  <c r="F28" i="4"/>
  <c r="E22" i="4"/>
  <c r="M53" i="2"/>
  <c r="F41" i="4"/>
  <c r="E35" i="4"/>
  <c r="B11" i="3"/>
  <c r="B7" i="3"/>
  <c r="D7" i="3"/>
  <c r="D6" i="3"/>
  <c r="D11" i="3"/>
  <c r="C10" i="3"/>
  <c r="B10" i="3"/>
  <c r="D9" i="3"/>
  <c r="E42" i="4"/>
  <c r="B41" i="3"/>
  <c r="M8" i="2"/>
  <c r="E13" i="4"/>
  <c r="F16" i="4"/>
  <c r="F19" i="4"/>
  <c r="F32" i="4"/>
  <c r="G42" i="4"/>
  <c r="F42" i="4"/>
  <c r="E21" i="4"/>
  <c r="B17" i="3"/>
  <c r="G7" i="4"/>
  <c r="F7" i="4"/>
  <c r="G10" i="4"/>
  <c r="E39" i="4"/>
  <c r="F46" i="4"/>
  <c r="G50" i="4"/>
  <c r="F50" i="4"/>
  <c r="B35" i="3"/>
  <c r="B6" i="3"/>
  <c r="B18" i="3"/>
  <c r="E11" i="4"/>
  <c r="M41" i="2"/>
  <c r="B8" i="3"/>
  <c r="F40" i="4"/>
  <c r="B24" i="3"/>
  <c r="G34" i="4"/>
  <c r="M80" i="2"/>
  <c r="D8" i="3"/>
  <c r="E34" i="4"/>
  <c r="M32" i="2"/>
  <c r="E20" i="4"/>
  <c r="E41" i="4"/>
  <c r="G45" i="4"/>
  <c r="F45" i="4"/>
  <c r="E9" i="4"/>
  <c r="B45" i="3"/>
  <c r="E43" i="4"/>
  <c r="M18" i="2"/>
  <c r="E38" i="4"/>
  <c r="M22" i="2"/>
  <c r="B47" i="3"/>
  <c r="F6" i="4"/>
  <c r="E26" i="4"/>
  <c r="B28" i="3"/>
  <c r="E44" i="4"/>
  <c r="B43" i="3"/>
  <c r="M15" i="2"/>
  <c r="E32" i="4"/>
  <c r="M172" i="2"/>
  <c r="E33" i="4"/>
  <c r="F29" i="4"/>
  <c r="G36" i="4"/>
  <c r="F36" i="4"/>
  <c r="M5" i="2"/>
  <c r="C28" i="3" s="1"/>
  <c r="E40" i="4"/>
  <c r="M9" i="2"/>
  <c r="M12" i="2"/>
  <c r="C16" i="3" s="1"/>
  <c r="M61" i="2"/>
  <c r="M103" i="2"/>
  <c r="M117" i="2"/>
  <c r="M169" i="2"/>
  <c r="G14" i="4"/>
  <c r="F14" i="4"/>
  <c r="B39" i="3"/>
  <c r="M13" i="2"/>
  <c r="M49" i="2"/>
  <c r="E48" i="4"/>
  <c r="E50" i="4"/>
  <c r="M85" i="2"/>
  <c r="M121" i="2"/>
  <c r="M157" i="2"/>
  <c r="M193" i="2"/>
  <c r="E46" i="4"/>
  <c r="M4" i="2"/>
  <c r="C6" i="3" s="1"/>
  <c r="E18" i="4"/>
  <c r="M40" i="2"/>
  <c r="B16" i="3"/>
  <c r="E36" i="4"/>
  <c r="M37" i="2"/>
  <c r="C7" i="3" s="1"/>
  <c r="M73" i="2"/>
  <c r="E12" i="4"/>
  <c r="M109" i="2"/>
  <c r="M145" i="2"/>
  <c r="M181" i="2"/>
  <c r="M217" i="2"/>
  <c r="C11" i="3" s="1"/>
  <c r="J7" i="4" l="1"/>
  <c r="C9" i="3"/>
  <c r="D6" i="1" s="1"/>
  <c r="H6" i="1" s="1"/>
  <c r="C19" i="3"/>
  <c r="B6" i="1"/>
  <c r="C17" i="3"/>
  <c r="J8" i="4"/>
  <c r="J9" i="4"/>
  <c r="C24" i="3"/>
  <c r="C25" i="3"/>
  <c r="C18" i="3"/>
  <c r="C26" i="3"/>
</calcChain>
</file>

<file path=xl/sharedStrings.xml><?xml version="1.0" encoding="utf-8"?>
<sst xmlns="http://schemas.openxmlformats.org/spreadsheetml/2006/main" count="1239" uniqueCount="342">
  <si>
    <t>Sales Performance Analysis Dashboard</t>
  </si>
  <si>
    <t>TOTAL REVENUE</t>
  </si>
  <si>
    <t>TOTAL PROFIT</t>
  </si>
  <si>
    <t>TOTAL ORDERS</t>
  </si>
  <si>
    <t>AVG. ORDER VALUE</t>
  </si>
  <si>
    <t>OrderID</t>
  </si>
  <si>
    <t>Date</t>
  </si>
  <si>
    <t>Month</t>
  </si>
  <si>
    <t>Region</t>
  </si>
  <si>
    <t>Category</t>
  </si>
  <si>
    <t>Product</t>
  </si>
  <si>
    <t>CustomerID</t>
  </si>
  <si>
    <t>Quantity</t>
  </si>
  <si>
    <t>Unit Price (₹)</t>
  </si>
  <si>
    <t>Unit Cost (₹)</t>
  </si>
  <si>
    <t>Revenue (₹)</t>
  </si>
  <si>
    <t>Cost (₹)</t>
  </si>
  <si>
    <t>Profit (₹)</t>
  </si>
  <si>
    <t>ORD-1001</t>
  </si>
  <si>
    <t>Kolkata (East Zone)</t>
  </si>
  <si>
    <t>Stationery</t>
  </si>
  <si>
    <t>Notebook Set</t>
  </si>
  <si>
    <t>CUST-039</t>
  </si>
  <si>
    <t>ORD-1002</t>
  </si>
  <si>
    <t>Delhi (North Zone)</t>
  </si>
  <si>
    <t>Apparel</t>
  </si>
  <si>
    <t>Rain Jacket</t>
  </si>
  <si>
    <t>CUST-030</t>
  </si>
  <si>
    <t>ORD-1003</t>
  </si>
  <si>
    <t>Electronics</t>
  </si>
  <si>
    <t>Smart Watch</t>
  </si>
  <si>
    <t>CUST-041</t>
  </si>
  <si>
    <t>ORD-1004</t>
  </si>
  <si>
    <t>Desk Organizer</t>
  </si>
  <si>
    <t>CUST-037</t>
  </si>
  <si>
    <t>ORD-1005</t>
  </si>
  <si>
    <t>Bengaluru (South Zone)</t>
  </si>
  <si>
    <t>Running Shoes</t>
  </si>
  <si>
    <t>CUST-019</t>
  </si>
  <si>
    <t>ORD-1006</t>
  </si>
  <si>
    <t>Home Appliances</t>
  </si>
  <si>
    <t>Air Fryer</t>
  </si>
  <si>
    <t>ORD-1007</t>
  </si>
  <si>
    <t>Electric Kettle</t>
  </si>
  <si>
    <t>CUST-014</t>
  </si>
  <si>
    <t>ORD-1008</t>
  </si>
  <si>
    <t>Furniture</t>
  </si>
  <si>
    <t>Bookshelf</t>
  </si>
  <si>
    <t>CUST-035</t>
  </si>
  <si>
    <t>ORD-1009</t>
  </si>
  <si>
    <t>ORD-1010</t>
  </si>
  <si>
    <t>Study Table</t>
  </si>
  <si>
    <t>CUST-044</t>
  </si>
  <si>
    <t>ORD-1011</t>
  </si>
  <si>
    <t>Power Bank</t>
  </si>
  <si>
    <t>CUST-021</t>
  </si>
  <si>
    <t>ORD-1012</t>
  </si>
  <si>
    <t>ORD-1013</t>
  </si>
  <si>
    <t>Bluetooth Speaker</t>
  </si>
  <si>
    <t>CUST-009</t>
  </si>
  <si>
    <t>ORD-1014</t>
  </si>
  <si>
    <t>Backpack</t>
  </si>
  <si>
    <t>CUST-038</t>
  </si>
  <si>
    <t>ORD-1015</t>
  </si>
  <si>
    <t>ORD-1016</t>
  </si>
  <si>
    <t>Office Chair</t>
  </si>
  <si>
    <t>CUST-004</t>
  </si>
  <si>
    <t>ORD-1017</t>
  </si>
  <si>
    <t>Mumbai (West Zone)</t>
  </si>
  <si>
    <t>ORD-1018</t>
  </si>
  <si>
    <t>CUST-036</t>
  </si>
  <si>
    <t>ORD-1019</t>
  </si>
  <si>
    <t>ORD-1020</t>
  </si>
  <si>
    <t>CUST-042</t>
  </si>
  <si>
    <t>ORD-1021</t>
  </si>
  <si>
    <t>Wireless Earbuds</t>
  </si>
  <si>
    <t>CUST-033</t>
  </si>
  <si>
    <t>ORD-1022</t>
  </si>
  <si>
    <t>ORD-1023</t>
  </si>
  <si>
    <t>CUST-010</t>
  </si>
  <si>
    <t>ORD-1024</t>
  </si>
  <si>
    <t>ORD-1025</t>
  </si>
  <si>
    <t>ORD-1026</t>
  </si>
  <si>
    <t>CUST-020</t>
  </si>
  <si>
    <t>ORD-1027</t>
  </si>
  <si>
    <t>CUST-005</t>
  </si>
  <si>
    <t>ORD-1028</t>
  </si>
  <si>
    <t>ORD-1029</t>
  </si>
  <si>
    <t>ORD-1030</t>
  </si>
  <si>
    <t>ORD-1031</t>
  </si>
  <si>
    <t>CUST-029</t>
  </si>
  <si>
    <t>ORD-1032</t>
  </si>
  <si>
    <t>CUST-022</t>
  </si>
  <si>
    <t>ORD-1033</t>
  </si>
  <si>
    <t>CUST-001</t>
  </si>
  <si>
    <t>ORD-1034</t>
  </si>
  <si>
    <t>CUST-003</t>
  </si>
  <si>
    <t>ORD-1035</t>
  </si>
  <si>
    <t>ORD-1036</t>
  </si>
  <si>
    <t>CUST-031</t>
  </si>
  <si>
    <t>ORD-1037</t>
  </si>
  <si>
    <t>CUST-023</t>
  </si>
  <si>
    <t>ORD-1038</t>
  </si>
  <si>
    <t>ORD-1039</t>
  </si>
  <si>
    <t>CUST-013</t>
  </si>
  <si>
    <t>ORD-1040</t>
  </si>
  <si>
    <t>ORD-1041</t>
  </si>
  <si>
    <t>ORD-1042</t>
  </si>
  <si>
    <t>CUST-006</t>
  </si>
  <si>
    <t>ORD-1043</t>
  </si>
  <si>
    <t>CUST-032</t>
  </si>
  <si>
    <t>ORD-1044</t>
  </si>
  <si>
    <t>ORD-1045</t>
  </si>
  <si>
    <t>Mixer Grinder</t>
  </si>
  <si>
    <t>ORD-1046</t>
  </si>
  <si>
    <t>ORD-1047</t>
  </si>
  <si>
    <t>ORD-1048</t>
  </si>
  <si>
    <t>ORD-1049</t>
  </si>
  <si>
    <t>ORD-1050</t>
  </si>
  <si>
    <t>CUST-026</t>
  </si>
  <si>
    <t>ORD-1051</t>
  </si>
  <si>
    <t>CUST-040</t>
  </si>
  <si>
    <t>ORD-1052</t>
  </si>
  <si>
    <t>CUST-017</t>
  </si>
  <si>
    <t>ORD-1053</t>
  </si>
  <si>
    <t>CUST-016</t>
  </si>
  <si>
    <t>ORD-1054</t>
  </si>
  <si>
    <t>ORD-1055</t>
  </si>
  <si>
    <t>ORD-1056</t>
  </si>
  <si>
    <t>ORD-1057</t>
  </si>
  <si>
    <t>CUST-011</t>
  </si>
  <si>
    <t>ORD-1058</t>
  </si>
  <si>
    <t>CUST-043</t>
  </si>
  <si>
    <t>ORD-1059</t>
  </si>
  <si>
    <t>ORD-1060</t>
  </si>
  <si>
    <t>ORD-1061</t>
  </si>
  <si>
    <t>ORD-1062</t>
  </si>
  <si>
    <t>CUST-018</t>
  </si>
  <si>
    <t>ORD-1063</t>
  </si>
  <si>
    <t>ORD-1064</t>
  </si>
  <si>
    <t>CUST-008</t>
  </si>
  <si>
    <t>ORD-1065</t>
  </si>
  <si>
    <t>CUST-024</t>
  </si>
  <si>
    <t>ORD-1066</t>
  </si>
  <si>
    <t>ORD-1067</t>
  </si>
  <si>
    <t>ORD-1068</t>
  </si>
  <si>
    <t>ORD-1069</t>
  </si>
  <si>
    <t>CUST-012</t>
  </si>
  <si>
    <t>ORD-1070</t>
  </si>
  <si>
    <t>ORD-1071</t>
  </si>
  <si>
    <t>ORD-1072</t>
  </si>
  <si>
    <t>ORD-1073</t>
  </si>
  <si>
    <t>CUST-015</t>
  </si>
  <si>
    <t>ORD-1074</t>
  </si>
  <si>
    <t>ORD-1075</t>
  </si>
  <si>
    <t>ORD-1076</t>
  </si>
  <si>
    <t>ORD-1077</t>
  </si>
  <si>
    <t>ORD-1078</t>
  </si>
  <si>
    <t>ORD-1079</t>
  </si>
  <si>
    <t>CUST-025</t>
  </si>
  <si>
    <t>ORD-1080</t>
  </si>
  <si>
    <t>ORD-1081</t>
  </si>
  <si>
    <t>ORD-1082</t>
  </si>
  <si>
    <t>ORD-1083</t>
  </si>
  <si>
    <t>ORD-1084</t>
  </si>
  <si>
    <t>CUST-045</t>
  </si>
  <si>
    <t>ORD-1085</t>
  </si>
  <si>
    <t>ORD-1086</t>
  </si>
  <si>
    <t>ORD-1087</t>
  </si>
  <si>
    <t>ORD-1088</t>
  </si>
  <si>
    <t>ORD-1089</t>
  </si>
  <si>
    <t>ORD-1090</t>
  </si>
  <si>
    <t>ORD-1091</t>
  </si>
  <si>
    <t>ORD-1092</t>
  </si>
  <si>
    <t>ORD-1093</t>
  </si>
  <si>
    <t>ORD-1094</t>
  </si>
  <si>
    <t>ORD-1095</t>
  </si>
  <si>
    <t>CUST-007</t>
  </si>
  <si>
    <t>ORD-1096</t>
  </si>
  <si>
    <t>ORD-1097</t>
  </si>
  <si>
    <t>ORD-1098</t>
  </si>
  <si>
    <t>ORD-1099</t>
  </si>
  <si>
    <t>ORD-1100</t>
  </si>
  <si>
    <t>ORD-1101</t>
  </si>
  <si>
    <t>ORD-1102</t>
  </si>
  <si>
    <t>CUST-034</t>
  </si>
  <si>
    <t>ORD-1103</t>
  </si>
  <si>
    <t>ORD-1104</t>
  </si>
  <si>
    <t>ORD-1105</t>
  </si>
  <si>
    <t>ORD-1106</t>
  </si>
  <si>
    <t>ORD-1107</t>
  </si>
  <si>
    <t>ORD-1108</t>
  </si>
  <si>
    <t>ORD-1109</t>
  </si>
  <si>
    <t>CUST-027</t>
  </si>
  <si>
    <t>ORD-1110</t>
  </si>
  <si>
    <t>ORD-1111</t>
  </si>
  <si>
    <t>ORD-1112</t>
  </si>
  <si>
    <t>ORD-1113</t>
  </si>
  <si>
    <t>ORD-1114</t>
  </si>
  <si>
    <t>ORD-1115</t>
  </si>
  <si>
    <t>ORD-1116</t>
  </si>
  <si>
    <t>ORD-1117</t>
  </si>
  <si>
    <t>ORD-1118</t>
  </si>
  <si>
    <t>ORD-1119</t>
  </si>
  <si>
    <t>ORD-1120</t>
  </si>
  <si>
    <t>ORD-1121</t>
  </si>
  <si>
    <t>ORD-1122</t>
  </si>
  <si>
    <t>ORD-1123</t>
  </si>
  <si>
    <t>ORD-1124</t>
  </si>
  <si>
    <t>ORD-1125</t>
  </si>
  <si>
    <t>ORD-1126</t>
  </si>
  <si>
    <t>ORD-1127</t>
  </si>
  <si>
    <t>ORD-1128</t>
  </si>
  <si>
    <t>ORD-1129</t>
  </si>
  <si>
    <t>ORD-1130</t>
  </si>
  <si>
    <t>ORD-1131</t>
  </si>
  <si>
    <t>ORD-1132</t>
  </si>
  <si>
    <t>ORD-1133</t>
  </si>
  <si>
    <t>ORD-1134</t>
  </si>
  <si>
    <t>ORD-1135</t>
  </si>
  <si>
    <t>ORD-1136</t>
  </si>
  <si>
    <t>ORD-1137</t>
  </si>
  <si>
    <t>ORD-1138</t>
  </si>
  <si>
    <t>ORD-1139</t>
  </si>
  <si>
    <t>ORD-1140</t>
  </si>
  <si>
    <t>ORD-1141</t>
  </si>
  <si>
    <t>ORD-1142</t>
  </si>
  <si>
    <t>ORD-1143</t>
  </si>
  <si>
    <t>CUST-028</t>
  </si>
  <si>
    <t>ORD-1144</t>
  </si>
  <si>
    <t>ORD-1145</t>
  </si>
  <si>
    <t>ORD-1146</t>
  </si>
  <si>
    <t>ORD-1147</t>
  </si>
  <si>
    <t>ORD-1148</t>
  </si>
  <si>
    <t>ORD-1149</t>
  </si>
  <si>
    <t>ORD-1150</t>
  </si>
  <si>
    <t>ORD-1151</t>
  </si>
  <si>
    <t>ORD-1152</t>
  </si>
  <si>
    <t>ORD-1153</t>
  </si>
  <si>
    <t>ORD-1154</t>
  </si>
  <si>
    <t>ORD-1155</t>
  </si>
  <si>
    <t>ORD-1156</t>
  </si>
  <si>
    <t>ORD-1157</t>
  </si>
  <si>
    <t>ORD-1158</t>
  </si>
  <si>
    <t>ORD-1159</t>
  </si>
  <si>
    <t>ORD-1160</t>
  </si>
  <si>
    <t>ORD-1161</t>
  </si>
  <si>
    <t>ORD-1162</t>
  </si>
  <si>
    <t>ORD-1163</t>
  </si>
  <si>
    <t>ORD-1164</t>
  </si>
  <si>
    <t>ORD-1165</t>
  </si>
  <si>
    <t>ORD-1166</t>
  </si>
  <si>
    <t>ORD-1167</t>
  </si>
  <si>
    <t>ORD-1168</t>
  </si>
  <si>
    <t>ORD-1169</t>
  </si>
  <si>
    <t>ORD-1170</t>
  </si>
  <si>
    <t>ORD-1171</t>
  </si>
  <si>
    <t>ORD-1172</t>
  </si>
  <si>
    <t>CUST-002</t>
  </si>
  <si>
    <t>ORD-1173</t>
  </si>
  <si>
    <t>ORD-1174</t>
  </si>
  <si>
    <t>ORD-1175</t>
  </si>
  <si>
    <t>ORD-1176</t>
  </si>
  <si>
    <t>ORD-1177</t>
  </si>
  <si>
    <t>ORD-1178</t>
  </si>
  <si>
    <t>ORD-1179</t>
  </si>
  <si>
    <t>ORD-1180</t>
  </si>
  <si>
    <t>ORD-1181</t>
  </si>
  <si>
    <t>ORD-1182</t>
  </si>
  <si>
    <t>ORD-1183</t>
  </si>
  <si>
    <t>ORD-1184</t>
  </si>
  <si>
    <t>ORD-1185</t>
  </si>
  <si>
    <t>ORD-1186</t>
  </si>
  <si>
    <t>ORD-1187</t>
  </si>
  <si>
    <t>ORD-1188</t>
  </si>
  <si>
    <t>ORD-1189</t>
  </si>
  <si>
    <t>ORD-1190</t>
  </si>
  <si>
    <t>ORD-1191</t>
  </si>
  <si>
    <t>ORD-1192</t>
  </si>
  <si>
    <t>ORD-1193</t>
  </si>
  <si>
    <t>ORD-1194</t>
  </si>
  <si>
    <t>ORD-1195</t>
  </si>
  <si>
    <t>ORD-1196</t>
  </si>
  <si>
    <t>ORD-1197</t>
  </si>
  <si>
    <t>ORD-1198</t>
  </si>
  <si>
    <t>ORD-1199</t>
  </si>
  <si>
    <t>ORD-1200</t>
  </si>
  <si>
    <t>ORD-1201</t>
  </si>
  <si>
    <t>ORD-1202</t>
  </si>
  <si>
    <t>ORD-1203</t>
  </si>
  <si>
    <t>ORD-1204</t>
  </si>
  <si>
    <t>ORD-1205</t>
  </si>
  <si>
    <t>ORD-1206</t>
  </si>
  <si>
    <t>ORD-1207</t>
  </si>
  <si>
    <t>ORD-1208</t>
  </si>
  <si>
    <t>ORD-1209</t>
  </si>
  <si>
    <t>ORD-1210</t>
  </si>
  <si>
    <t>ORD-1211</t>
  </si>
  <si>
    <t>ORD-1212</t>
  </si>
  <si>
    <t>ORD-1213</t>
  </si>
  <si>
    <t>ORD-1214</t>
  </si>
  <si>
    <t>ORD-1215</t>
  </si>
  <si>
    <t>ORD-1216</t>
  </si>
  <si>
    <t>ORD-1217</t>
  </si>
  <si>
    <t>ORD-1218</t>
  </si>
  <si>
    <t>ORD-1219</t>
  </si>
  <si>
    <t>ORD-1220</t>
  </si>
  <si>
    <t>ORD-1221</t>
  </si>
  <si>
    <t>Sales Performance Analysis — Summary Tables</t>
  </si>
  <si>
    <t>Month-wise Revenue &amp; Profit</t>
  </si>
  <si>
    <t>Orders</t>
  </si>
  <si>
    <t>Jan</t>
  </si>
  <si>
    <t>Feb</t>
  </si>
  <si>
    <t>Mar</t>
  </si>
  <si>
    <t>Apr</t>
  </si>
  <si>
    <t>May</t>
  </si>
  <si>
    <t>Jun</t>
  </si>
  <si>
    <t>Region-wise Revenue &amp; Profit</t>
  </si>
  <si>
    <t>Category-wise Revenue &amp; Profit</t>
  </si>
  <si>
    <t>Product-wise Revenue (Top-Selling Products)</t>
  </si>
  <si>
    <t>Units Sold</t>
  </si>
  <si>
    <t>Customer Segmentation &amp; Churn Risk (RFM Analysis)</t>
  </si>
  <si>
    <t>Report Date:</t>
  </si>
  <si>
    <t>Last Purchase Date</t>
  </si>
  <si>
    <t>Recency (days)</t>
  </si>
  <si>
    <t>Frequency (orders)</t>
  </si>
  <si>
    <t>Monetary (₹)</t>
  </si>
  <si>
    <t>RFM Segment</t>
  </si>
  <si>
    <t>Churn Risk</t>
  </si>
  <si>
    <t>Churn Risk Distribution</t>
  </si>
  <si>
    <t>Risk Level</t>
  </si>
  <si>
    <t>Customers</t>
  </si>
  <si>
    <t>High</t>
  </si>
  <si>
    <t>Medium</t>
  </si>
  <si>
    <t>Low</t>
  </si>
  <si>
    <t>RFM Segmentation Rule (for reference):</t>
  </si>
  <si>
    <t>• Champion: purchased within 30 days AND 6+ orders</t>
  </si>
  <si>
    <t>• Loyal: purchased within 45 days AND 4+ orders</t>
  </si>
  <si>
    <t>• Potential Loyalist: purchased within 60 days AND 2+ orders</t>
  </si>
  <si>
    <t>• At Risk: last purchase 61-75 days ago</t>
  </si>
  <si>
    <t>• Lost: no purchase in over 75 days</t>
  </si>
  <si>
    <t>• Churn Risk — High: Recency &gt; 60 days | Medium: 36-60 days | Low: &lt;=35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</si>
</sst>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₹#,##0"/>
    <numFmt numFmtId="165" formatCode="dd\-mmm\-yyyy"/>
  </numFmts>
  <fonts count="15" x14ac:knownFonts="1">
    <font>
      <sz val="11"/>
      <color theme="1"/>
      <name val="Calibri"/>
      <family val="2"/>
      <charset val="1"/>
    </font>
    <font>
      <b/>
      <sz val="20"/>
      <color rgb="FF1F4E79"/>
      <name val="Calibri"/>
      <charset val="1"/>
    </font>
    <font>
      <i/>
      <sz val="10"/>
      <color rgb="FF666666"/>
      <name val="Calibri"/>
      <charset val="1"/>
    </font>
    <font>
      <b/>
      <sz val="10"/>
      <color rgb="FFFFFFFF"/>
      <name val="Calibri"/>
      <charset val="1"/>
    </font>
    <font>
      <b/>
      <sz val="18"/>
      <color rgb="FF1F4E79"/>
      <name val="Calibri"/>
      <charset val="1"/>
    </font>
    <font>
      <b/>
      <sz val="18"/>
      <color rgb="FF2E7D32"/>
      <name val="Calibri"/>
      <charset val="1"/>
    </font>
    <font>
      <b/>
      <sz val="11"/>
      <color rgb="FFFFFFFF"/>
      <name val="Calibri"/>
      <charset val="1"/>
    </font>
    <font>
      <sz val="10"/>
      <name val="Calibri"/>
      <charset val="1"/>
    </font>
    <font>
      <b/>
      <sz val="16"/>
      <color rgb="FF1F4E79"/>
      <name val="Calibri"/>
      <charset val="1"/>
    </font>
    <font>
      <i/>
      <sz val="9"/>
      <color rgb="FF666666"/>
      <name val="Calibri"/>
      <charset val="1"/>
    </font>
    <font>
      <b/>
      <sz val="12"/>
      <color rgb="FF1F4E79"/>
      <name val="Calibri"/>
      <charset val="1"/>
    </font>
    <font>
      <b/>
      <sz val="10"/>
      <name val="Calibri"/>
      <charset val="1"/>
    </font>
    <font>
      <b/>
      <sz val="10"/>
      <color rgb="FFC62828"/>
      <name val="Calibri"/>
      <charset val="1"/>
    </font>
    <font>
      <b/>
      <sz val="11"/>
      <color rgb="FF1F4E79"/>
      <name val="Calibri"/>
      <charset val="1"/>
    </font>
    <font>
      <sz val="9"/>
      <color rgb="FF444444"/>
      <name val="Calibri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2E7D32"/>
        <bgColor rgb="FF008000"/>
      </patternFill>
    </fill>
    <fill>
      <patternFill patternType="solid">
        <fgColor rgb="FFDCE6F1"/>
        <bgColor rgb="FFD9D9D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2">
    <xf numFmtId="0" fontId="0" fillId="0" borderId="0" xfId="0"/>
    <xf numFmtId="3" fontId="4" fillId="4" borderId="1" xfId="0" applyNumberFormat="1" applyFont="1" applyFill="1" applyBorder="1" applyAlignment="1">
      <alignment horizontal="center" vertical="center"/>
    </xf>
    <xf numFmtId="164" fontId="5" fillId="4" borderId="1" xfId="0" applyNumberFormat="1" applyFont="1" applyFill="1" applyBorder="1" applyAlignment="1">
      <alignment horizontal="center" vertical="center"/>
    </xf>
    <xf numFmtId="164" fontId="4" fillId="4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0" xfId="0" applyFont="1"/>
    <xf numFmtId="0" fontId="2" fillId="0" borderId="0" xfId="0" applyFont="1"/>
    <xf numFmtId="0" fontId="6" fillId="2" borderId="1" xfId="0" applyFont="1" applyFill="1" applyBorder="1" applyAlignment="1">
      <alignment horizontal="center" vertical="center" wrapText="1"/>
    </xf>
    <xf numFmtId="0" fontId="7" fillId="0" borderId="0" xfId="0" applyFont="1"/>
    <xf numFmtId="165" fontId="7" fillId="0" borderId="0" xfId="0" applyNumberFormat="1" applyFont="1"/>
    <xf numFmtId="164" fontId="7" fillId="0" borderId="0" xfId="0" applyNumberFormat="1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7" fillId="0" borderId="1" xfId="0" applyFont="1" applyBorder="1"/>
    <xf numFmtId="164" fontId="7" fillId="0" borderId="1" xfId="0" applyNumberFormat="1" applyFont="1" applyBorder="1"/>
    <xf numFmtId="0" fontId="11" fillId="0" borderId="0" xfId="0" applyFont="1"/>
    <xf numFmtId="165" fontId="12" fillId="0" borderId="0" xfId="0" applyNumberFormat="1" applyFont="1"/>
    <xf numFmtId="0" fontId="13" fillId="0" borderId="0" xfId="0" applyFont="1"/>
    <xf numFmtId="165" fontId="7" fillId="0" borderId="1" xfId="0" applyNumberFormat="1" applyFont="1" applyBorder="1"/>
    <xf numFmtId="0" fontId="14" fillId="0" borderId="0" xfId="0" applyFont="1"/>
  </cellXfs>
  <cellStyles count="1">
    <cellStyle name="Normal" xfId="0" builtinId="0"/>
  </cellStyles>
  <dxfs count="3">
    <dxf>
      <fill>
        <patternFill>
          <bgColor rgb="FFC6E0B4"/>
        </patternFill>
      </fill>
    </dxf>
    <dxf>
      <fill>
        <patternFill>
          <bgColor rgb="FFFFE699"/>
        </patternFill>
      </fill>
    </dxf>
    <dxf>
      <fill>
        <patternFill>
          <bgColor rgb="FFF8CBAD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666666"/>
      <rgbColor rgb="FF800080"/>
      <rgbColor rgb="FF008080"/>
      <rgbColor rgb="FFBFBFBF"/>
      <rgbColor rgb="FF878787"/>
      <rgbColor rgb="FF9999FF"/>
      <rgbColor rgb="FFC0504D"/>
      <rgbColor rgb="FFFFFFCC"/>
      <rgbColor rgb="FFDCE6F1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E699"/>
      <rgbColor rgb="FF99CCFF"/>
      <rgbColor rgb="FFFF99CC"/>
      <rgbColor rgb="FFCC99FF"/>
      <rgbColor rgb="FFF8CBAD"/>
      <rgbColor rgb="FF4A7EBB"/>
      <rgbColor rgb="FF4BACC6"/>
      <rgbColor rgb="FF9BBB59"/>
      <rgbColor rgb="FFFFCC00"/>
      <rgbColor rgb="FFFF9900"/>
      <rgbColor rgb="FFFF6600"/>
      <rgbColor rgb="FF8064A2"/>
      <rgbColor rgb="FF4F81BD"/>
      <rgbColor rgb="FF003366"/>
      <rgbColor rgb="FF2E7D32"/>
      <rgbColor rgb="FF003300"/>
      <rgbColor rgb="FF333300"/>
      <rgbColor rgb="FFC62828"/>
      <rgbColor rgb="FF993366"/>
      <rgbColor rgb="FF1F4E79"/>
      <rgbColor rgb="FF4444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Monthly Revenue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Summary!$B$5</c:f>
              <c:strCache>
                <c:ptCount val="1"/>
                <c:pt idx="0">
                  <c:v>Revenue (₹)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Summary!$A$6:$A$11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Summary!$B$6:$B$11</c:f>
              <c:numCache>
                <c:formatCode>\₹#,##0</c:formatCode>
                <c:ptCount val="6"/>
                <c:pt idx="0">
                  <c:v>118544</c:v>
                </c:pt>
                <c:pt idx="1">
                  <c:v>98051</c:v>
                </c:pt>
                <c:pt idx="2">
                  <c:v>151926</c:v>
                </c:pt>
                <c:pt idx="3">
                  <c:v>166621</c:v>
                </c:pt>
                <c:pt idx="4">
                  <c:v>183214</c:v>
                </c:pt>
                <c:pt idx="5">
                  <c:v>44572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A9E-4321-BE33-ED5EB2498A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82250539"/>
        <c:axId val="27684231"/>
      </c:lineChart>
      <c:catAx>
        <c:axId val="8225053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7684231"/>
        <c:crosses val="autoZero"/>
        <c:auto val="1"/>
        <c:lblAlgn val="ctr"/>
        <c:lblOffset val="100"/>
        <c:noMultiLvlLbl val="0"/>
      </c:catAx>
      <c:valAx>
        <c:axId val="2768423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Revenue (₹)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₹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225053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Region-wise Revenue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Summary!$B$15</c:f>
              <c:strCache>
                <c:ptCount val="1"/>
                <c:pt idx="0">
                  <c:v>Revenue (₹)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Summary!$A$16:$A$19</c:f>
              <c:strCache>
                <c:ptCount val="4"/>
                <c:pt idx="0">
                  <c:v>Delhi (North Zone)</c:v>
                </c:pt>
                <c:pt idx="1">
                  <c:v>Bengaluru (South Zone)</c:v>
                </c:pt>
                <c:pt idx="2">
                  <c:v>Kolkata (East Zone)</c:v>
                </c:pt>
                <c:pt idx="3">
                  <c:v>Mumbai (West Zone)</c:v>
                </c:pt>
              </c:strCache>
            </c:strRef>
          </c:cat>
          <c:val>
            <c:numRef>
              <c:f>Summary!$B$16:$B$19</c:f>
              <c:numCache>
                <c:formatCode>\₹#,##0</c:formatCode>
                <c:ptCount val="4"/>
                <c:pt idx="0">
                  <c:v>219504</c:v>
                </c:pt>
                <c:pt idx="1">
                  <c:v>155321</c:v>
                </c:pt>
                <c:pt idx="2">
                  <c:v>203899</c:v>
                </c:pt>
                <c:pt idx="3">
                  <c:v>184204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EB-4D5D-8D85-A1ABAB59DC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839458"/>
        <c:axId val="88701001"/>
      </c:barChart>
      <c:catAx>
        <c:axId val="5083945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8701001"/>
        <c:crosses val="autoZero"/>
        <c:auto val="1"/>
        <c:lblAlgn val="ctr"/>
        <c:lblOffset val="100"/>
        <c:noMultiLvlLbl val="0"/>
      </c:catAx>
      <c:valAx>
        <c:axId val="8870100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Revenue (₹)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₹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83945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Top-Selling Products by Revenue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Summary!$B$32</c:f>
              <c:strCache>
                <c:ptCount val="1"/>
                <c:pt idx="0">
                  <c:v>Revenue (₹)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Summary!$A$33:$A$38</c:f>
              <c:strCache>
                <c:ptCount val="6"/>
                <c:pt idx="0">
                  <c:v>Office Chair</c:v>
                </c:pt>
                <c:pt idx="1">
                  <c:v>Air Fryer</c:v>
                </c:pt>
                <c:pt idx="2">
                  <c:v>Bookshelf</c:v>
                </c:pt>
                <c:pt idx="3">
                  <c:v>Study Table</c:v>
                </c:pt>
                <c:pt idx="4">
                  <c:v>Power Bank</c:v>
                </c:pt>
                <c:pt idx="5">
                  <c:v>Mixer Grinder</c:v>
                </c:pt>
              </c:strCache>
            </c:strRef>
          </c:cat>
          <c:val>
            <c:numRef>
              <c:f>Summary!$B$33:$B$38</c:f>
              <c:numCache>
                <c:formatCode>\₹#,##0</c:formatCode>
                <c:ptCount val="6"/>
                <c:pt idx="0">
                  <c:v>111968</c:v>
                </c:pt>
                <c:pt idx="1">
                  <c:v>94473</c:v>
                </c:pt>
                <c:pt idx="2">
                  <c:v>83972</c:v>
                </c:pt>
                <c:pt idx="3">
                  <c:v>73479</c:v>
                </c:pt>
                <c:pt idx="4">
                  <c:v>73479</c:v>
                </c:pt>
                <c:pt idx="5">
                  <c:v>69972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03-40B2-AF41-BC28735559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3343308"/>
        <c:axId val="85489040"/>
      </c:barChart>
      <c:catAx>
        <c:axId val="333433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5489040"/>
        <c:crosses val="autoZero"/>
        <c:auto val="1"/>
        <c:lblAlgn val="ctr"/>
        <c:lblOffset val="100"/>
        <c:noMultiLvlLbl val="0"/>
      </c:catAx>
      <c:valAx>
        <c:axId val="85489040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₹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334330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Profit Share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Summary!$C$23</c:f>
              <c:strCache>
                <c:ptCount val="1"/>
                <c:pt idx="0">
                  <c:v>Profit (₹)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4F81B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5852-4AE8-89AF-36898D24046D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5852-4AE8-89AF-36898D24046D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5852-4AE8-89AF-36898D24046D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5852-4AE8-89AF-36898D24046D}"/>
              </c:ext>
            </c:extLst>
          </c:dPt>
          <c:dPt>
            <c:idx val="4"/>
            <c:bubble3D val="0"/>
            <c:spPr>
              <a:solidFill>
                <a:srgbClr val="4BACC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5852-4AE8-89AF-36898D24046D}"/>
              </c:ext>
            </c:extLst>
          </c:dPt>
          <c:dLbls>
            <c:dLbl>
              <c:idx val="0"/>
              <c:layout>
                <c:manualLayout>
                  <c:x val="6.3198588707904402E-2"/>
                  <c:y val="0.38356442826001858"/>
                </c:manualLayout>
              </c:layout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852-4AE8-89AF-36898D24046D}"/>
                </c:ext>
              </c:extLst>
            </c:dLbl>
            <c:dLbl>
              <c:idx val="1"/>
              <c:layout>
                <c:manualLayout>
                  <c:x val="9.5525162824483742E-3"/>
                  <c:y val="9.9409244515311163E-2"/>
                </c:manualLayout>
              </c:layout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852-4AE8-89AF-36898D24046D}"/>
                </c:ext>
              </c:extLst>
            </c:dLbl>
            <c:dLbl>
              <c:idx val="2"/>
              <c:layout>
                <c:manualLayout>
                  <c:x val="-6.6387978689911475E-2"/>
                  <c:y val="-6.6482437144693873E-2"/>
                </c:manualLayout>
              </c:layout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separator>; </c:separator>
              <c:extLst>
                <c:ext xmlns:c15="http://schemas.microsoft.com/office/drawing/2012/chart" uri="{CE6537A1-D6FC-4f65-9D91-7224C49458BB}">
                  <c15:layout>
                    <c:manualLayout>
                      <c:w val="0.18614633185415005"/>
                      <c:h val="0.1979864036458052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5852-4AE8-89AF-36898D24046D}"/>
                </c:ext>
              </c:extLst>
            </c:dLbl>
            <c:dLbl>
              <c:idx val="3"/>
              <c:layout>
                <c:manualLayout>
                  <c:x val="-4.8790182866449629E-2"/>
                  <c:y val="0.27265179183859628"/>
                </c:manualLayout>
              </c:layout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5852-4AE8-89AF-36898D24046D}"/>
                </c:ext>
              </c:extLst>
            </c:dLbl>
            <c:dLbl>
              <c:idx val="4"/>
              <c:layout>
                <c:manualLayout>
                  <c:x val="-0.14193537323434591"/>
                  <c:y val="0.15582405901090654"/>
                </c:manualLayout>
              </c:layout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separator>; </c:separator>
              <c:extLst>
                <c:ext xmlns:c15="http://schemas.microsoft.com/office/drawing/2012/chart" uri="{CE6537A1-D6FC-4f65-9D91-7224C49458BB}">
                  <c15:layout>
                    <c:manualLayout>
                      <c:w val="0.24393279829463008"/>
                      <c:h val="0.1806781657491102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9-5852-4AE8-89AF-36898D24046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Summary!$A$24:$A$28</c:f>
              <c:strCache>
                <c:ptCount val="5"/>
                <c:pt idx="0">
                  <c:v>Electronics</c:v>
                </c:pt>
                <c:pt idx="1">
                  <c:v>Home Appliances</c:v>
                </c:pt>
                <c:pt idx="2">
                  <c:v>Furniture</c:v>
                </c:pt>
                <c:pt idx="3">
                  <c:v>Apparel</c:v>
                </c:pt>
                <c:pt idx="4">
                  <c:v>Stationery</c:v>
                </c:pt>
              </c:strCache>
            </c:strRef>
          </c:cat>
          <c:val>
            <c:numRef>
              <c:f>Summary!$C$24:$C$28</c:f>
              <c:numCache>
                <c:formatCode>\₹#,##0</c:formatCode>
                <c:ptCount val="5"/>
                <c:pt idx="0">
                  <c:v>59003</c:v>
                </c:pt>
                <c:pt idx="1">
                  <c:v>70633</c:v>
                </c:pt>
                <c:pt idx="2">
                  <c:v>100709</c:v>
                </c:pt>
                <c:pt idx="3">
                  <c:v>37109</c:v>
                </c:pt>
                <c:pt idx="4">
                  <c:v>20277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5852-4AE8-89AF-36898D2404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Customers by Churn Risk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'Customer Segmentation'!$J$6</c:f>
              <c:strCache>
                <c:ptCount val="1"/>
                <c:pt idx="0">
                  <c:v>Customers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4F81B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151F-452A-8CB8-F17BE31B0FB6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151F-452A-8CB8-F17BE31B0FB6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151F-452A-8CB8-F17BE31B0FB6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151F-452A-8CB8-F17BE31B0FB6}"/>
                </c:ext>
              </c:extLst>
            </c:dLbl>
            <c:dLbl>
              <c:idx val="1"/>
              <c:layout>
                <c:manualLayout>
                  <c:x val="0.10724802263731262"/>
                  <c:y val="-0.1657117555581154"/>
                </c:manualLayout>
              </c:layout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51F-452A-8CB8-F17BE31B0FB6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5-151F-452A-8CB8-F17BE31B0FB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'Customer Segmentation'!$I$7:$I$9</c:f>
              <c:strCache>
                <c:ptCount val="3"/>
                <c:pt idx="0">
                  <c:v>High</c:v>
                </c:pt>
                <c:pt idx="1">
                  <c:v>Medium</c:v>
                </c:pt>
                <c:pt idx="2">
                  <c:v>Low</c:v>
                </c:pt>
              </c:strCache>
            </c:strRef>
          </c:cat>
          <c:val>
            <c:numRef>
              <c:f>'Customer Segmentation'!$J$7:$J$9</c:f>
              <c:numCache>
                <c:formatCode>General</c:formatCode>
                <c:ptCount val="3"/>
                <c:pt idx="0">
                  <c:v>6</c:v>
                </c:pt>
                <c:pt idx="1">
                  <c:v>6</c:v>
                </c:pt>
                <c:pt idx="2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51F-452A-8CB8-F17BE31B0F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</xdr:row>
      <xdr:rowOff>70560</xdr:rowOff>
    </xdr:from>
    <xdr:to>
      <xdr:col>9</xdr:col>
      <xdr:colOff>2520</xdr:colOff>
      <xdr:row>23</xdr:row>
      <xdr:rowOff>92880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8</xdr:row>
      <xdr:rowOff>70560</xdr:rowOff>
    </xdr:from>
    <xdr:to>
      <xdr:col>18</xdr:col>
      <xdr:colOff>256320</xdr:colOff>
      <xdr:row>23</xdr:row>
      <xdr:rowOff>92880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25</xdr:row>
      <xdr:rowOff>70200</xdr:rowOff>
    </xdr:from>
    <xdr:to>
      <xdr:col>9</xdr:col>
      <xdr:colOff>2520</xdr:colOff>
      <xdr:row>40</xdr:row>
      <xdr:rowOff>92520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9</xdr:col>
      <xdr:colOff>0</xdr:colOff>
      <xdr:row>25</xdr:row>
      <xdr:rowOff>70200</xdr:rowOff>
    </xdr:from>
    <xdr:to>
      <xdr:col>18</xdr:col>
      <xdr:colOff>256320</xdr:colOff>
      <xdr:row>40</xdr:row>
      <xdr:rowOff>92520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7</xdr:row>
      <xdr:rowOff>172800</xdr:rowOff>
    </xdr:from>
    <xdr:to>
      <xdr:col>15</xdr:col>
      <xdr:colOff>39240</xdr:colOff>
      <xdr:row>23</xdr:row>
      <xdr:rowOff>4320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7"/>
  <sheetViews>
    <sheetView showGridLines="0" tabSelected="1" zoomScaleNormal="100" workbookViewId="0">
      <selection activeCell="H3" sqref="H3"/>
    </sheetView>
  </sheetViews>
  <sheetFormatPr defaultColWidth="8.6328125" defaultRowHeight="14.5" x14ac:dyDescent="0.35"/>
  <cols>
    <col min="1" max="1" width="3" customWidth="1"/>
    <col min="2" max="2" width="16" customWidth="1"/>
    <col min="3" max="3" width="3" customWidth="1"/>
    <col min="4" max="4" width="16" customWidth="1"/>
    <col min="5" max="5" width="3" customWidth="1"/>
    <col min="6" max="6" width="16" customWidth="1"/>
    <col min="7" max="7" width="3" customWidth="1"/>
    <col min="8" max="8" width="16" customWidth="1"/>
  </cols>
  <sheetData>
    <row r="2" spans="2:9" ht="26" x14ac:dyDescent="0.6">
      <c r="B2" s="6" t="s">
        <v>0</v>
      </c>
    </row>
    <row r="3" spans="2:9" x14ac:dyDescent="0.35">
      <c r="B3" s="7"/>
    </row>
    <row r="5" spans="2:9" x14ac:dyDescent="0.35">
      <c r="B5" s="5" t="s">
        <v>1</v>
      </c>
      <c r="C5" s="5"/>
      <c r="D5" s="4" t="s">
        <v>2</v>
      </c>
      <c r="E5" s="4"/>
      <c r="F5" s="5" t="s">
        <v>3</v>
      </c>
      <c r="G5" s="5"/>
      <c r="H5" s="5" t="s">
        <v>4</v>
      </c>
      <c r="I5" s="5"/>
    </row>
    <row r="6" spans="2:9" x14ac:dyDescent="0.35">
      <c r="B6" s="3">
        <f>SUM(Summary!B7:B12)</f>
        <v>644384</v>
      </c>
      <c r="C6" s="3"/>
      <c r="D6" s="2">
        <f>SUM(Summary!C7:C12)</f>
        <v>243847</v>
      </c>
      <c r="E6" s="2"/>
      <c r="F6" s="1">
        <f>COUNTA('Raw Data'!$A$2:$A$222)</f>
        <v>221</v>
      </c>
      <c r="G6" s="1"/>
      <c r="H6" s="3">
        <f>D6/F6</f>
        <v>1103.3800904977375</v>
      </c>
      <c r="I6" s="3"/>
    </row>
    <row r="7" spans="2:9" x14ac:dyDescent="0.35">
      <c r="B7" s="3"/>
      <c r="C7" s="3"/>
      <c r="D7" s="2"/>
      <c r="E7" s="2"/>
      <c r="F7" s="1"/>
      <c r="G7" s="1"/>
      <c r="H7" s="3"/>
      <c r="I7" s="3"/>
    </row>
  </sheetData>
  <mergeCells count="8">
    <mergeCell ref="B5:C5"/>
    <mergeCell ref="D5:E5"/>
    <mergeCell ref="F5:G5"/>
    <mergeCell ref="H5:I5"/>
    <mergeCell ref="B6:C7"/>
    <mergeCell ref="D6:E7"/>
    <mergeCell ref="F6:G7"/>
    <mergeCell ref="H6:I7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22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10" customWidth="1"/>
    <col min="2" max="2" width="12" customWidth="1"/>
    <col min="3" max="3" width="7" customWidth="1"/>
    <col min="4" max="4" width="9" customWidth="1"/>
    <col min="5" max="5" width="15" customWidth="1"/>
    <col min="6" max="6" width="18" customWidth="1"/>
    <col min="7" max="7" width="11" customWidth="1"/>
    <col min="8" max="8" width="9" customWidth="1"/>
    <col min="9" max="13" width="12" customWidth="1"/>
  </cols>
  <sheetData>
    <row r="1" spans="1:13" x14ac:dyDescent="0.35">
      <c r="A1" s="8" t="s">
        <v>5</v>
      </c>
      <c r="B1" s="8" t="s">
        <v>6</v>
      </c>
      <c r="C1" s="8" t="s">
        <v>7</v>
      </c>
      <c r="D1" s="8" t="s">
        <v>8</v>
      </c>
      <c r="E1" s="8" t="s">
        <v>9</v>
      </c>
      <c r="F1" s="8" t="s">
        <v>10</v>
      </c>
      <c r="G1" s="8" t="s">
        <v>11</v>
      </c>
      <c r="H1" s="8" t="s">
        <v>12</v>
      </c>
      <c r="I1" s="8" t="s">
        <v>13</v>
      </c>
      <c r="J1" s="8" t="s">
        <v>14</v>
      </c>
      <c r="K1" s="8" t="s">
        <v>15</v>
      </c>
      <c r="L1" s="8" t="s">
        <v>16</v>
      </c>
      <c r="M1" s="8" t="s">
        <v>17</v>
      </c>
    </row>
    <row r="2" spans="1:13" x14ac:dyDescent="0.35">
      <c r="A2" s="9" t="s">
        <v>18</v>
      </c>
      <c r="B2" s="10">
        <v>46027</v>
      </c>
      <c r="C2" s="9" t="str">
        <f t="shared" ref="C2:C65" si="0">TEXT(B2,"mmm")</f>
        <v>Jan</v>
      </c>
      <c r="D2" s="9" t="s">
        <v>19</v>
      </c>
      <c r="E2" s="9" t="s">
        <v>20</v>
      </c>
      <c r="F2" s="9" t="s">
        <v>21</v>
      </c>
      <c r="G2" s="9" t="s">
        <v>22</v>
      </c>
      <c r="H2" s="9">
        <v>1</v>
      </c>
      <c r="I2" s="11">
        <v>1299</v>
      </c>
      <c r="J2" s="11">
        <v>963</v>
      </c>
      <c r="K2" s="11">
        <f t="shared" ref="K2:K65" si="1">H2*I2</f>
        <v>1299</v>
      </c>
      <c r="L2" s="11">
        <f t="shared" ref="L2:L65" si="2">H2*J2</f>
        <v>963</v>
      </c>
      <c r="M2" s="11">
        <f t="shared" ref="M2:M65" si="3">K2-L2</f>
        <v>336</v>
      </c>
    </row>
    <row r="3" spans="1:13" x14ac:dyDescent="0.35">
      <c r="A3" s="9" t="s">
        <v>23</v>
      </c>
      <c r="B3" s="10">
        <v>46027</v>
      </c>
      <c r="C3" s="9" t="str">
        <f t="shared" si="0"/>
        <v>Jan</v>
      </c>
      <c r="D3" s="9" t="s">
        <v>24</v>
      </c>
      <c r="E3" s="9" t="s">
        <v>25</v>
      </c>
      <c r="F3" s="9" t="s">
        <v>26</v>
      </c>
      <c r="G3" s="9" t="s">
        <v>27</v>
      </c>
      <c r="H3" s="9">
        <v>2</v>
      </c>
      <c r="I3" s="11">
        <v>1999</v>
      </c>
      <c r="J3" s="11">
        <v>1211</v>
      </c>
      <c r="K3" s="11">
        <f t="shared" si="1"/>
        <v>3998</v>
      </c>
      <c r="L3" s="11">
        <f t="shared" si="2"/>
        <v>2422</v>
      </c>
      <c r="M3" s="11">
        <f t="shared" si="3"/>
        <v>1576</v>
      </c>
    </row>
    <row r="4" spans="1:13" x14ac:dyDescent="0.35">
      <c r="A4" s="9" t="s">
        <v>28</v>
      </c>
      <c r="B4" s="10">
        <v>46028</v>
      </c>
      <c r="C4" s="9" t="str">
        <f t="shared" si="0"/>
        <v>Jan</v>
      </c>
      <c r="D4" s="9" t="s">
        <v>19</v>
      </c>
      <c r="E4" s="9" t="s">
        <v>29</v>
      </c>
      <c r="F4" s="9" t="s">
        <v>30</v>
      </c>
      <c r="G4" s="9" t="s">
        <v>31</v>
      </c>
      <c r="H4" s="9">
        <v>2</v>
      </c>
      <c r="I4" s="11">
        <v>1499</v>
      </c>
      <c r="J4" s="11">
        <v>898</v>
      </c>
      <c r="K4" s="11">
        <f t="shared" si="1"/>
        <v>2998</v>
      </c>
      <c r="L4" s="11">
        <f t="shared" si="2"/>
        <v>1796</v>
      </c>
      <c r="M4" s="11">
        <f t="shared" si="3"/>
        <v>1202</v>
      </c>
    </row>
    <row r="5" spans="1:13" x14ac:dyDescent="0.35">
      <c r="A5" s="9" t="s">
        <v>32</v>
      </c>
      <c r="B5" s="10">
        <v>46028</v>
      </c>
      <c r="C5" s="9" t="str">
        <f t="shared" si="0"/>
        <v>Jan</v>
      </c>
      <c r="D5" s="9" t="s">
        <v>19</v>
      </c>
      <c r="E5" s="9" t="s">
        <v>20</v>
      </c>
      <c r="F5" s="9" t="s">
        <v>33</v>
      </c>
      <c r="G5" s="9" t="s">
        <v>34</v>
      </c>
      <c r="H5" s="9">
        <v>1</v>
      </c>
      <c r="I5" s="11">
        <v>1999</v>
      </c>
      <c r="J5" s="11">
        <v>1140</v>
      </c>
      <c r="K5" s="11">
        <f t="shared" si="1"/>
        <v>1999</v>
      </c>
      <c r="L5" s="11">
        <f t="shared" si="2"/>
        <v>1140</v>
      </c>
      <c r="M5" s="11">
        <f t="shared" si="3"/>
        <v>859</v>
      </c>
    </row>
    <row r="6" spans="1:13" x14ac:dyDescent="0.35">
      <c r="A6" s="9" t="s">
        <v>35</v>
      </c>
      <c r="B6" s="10">
        <v>46029</v>
      </c>
      <c r="C6" s="9" t="str">
        <f t="shared" si="0"/>
        <v>Jan</v>
      </c>
      <c r="D6" s="9" t="s">
        <v>36</v>
      </c>
      <c r="E6" s="9" t="s">
        <v>25</v>
      </c>
      <c r="F6" s="9" t="s">
        <v>37</v>
      </c>
      <c r="G6" s="9" t="s">
        <v>38</v>
      </c>
      <c r="H6" s="9">
        <v>1</v>
      </c>
      <c r="I6" s="11">
        <v>499</v>
      </c>
      <c r="J6" s="11">
        <v>350</v>
      </c>
      <c r="K6" s="11">
        <f t="shared" si="1"/>
        <v>499</v>
      </c>
      <c r="L6" s="11">
        <f t="shared" si="2"/>
        <v>350</v>
      </c>
      <c r="M6" s="11">
        <f t="shared" si="3"/>
        <v>149</v>
      </c>
    </row>
    <row r="7" spans="1:13" x14ac:dyDescent="0.35">
      <c r="A7" s="9" t="s">
        <v>39</v>
      </c>
      <c r="B7" s="10">
        <v>46030</v>
      </c>
      <c r="C7" s="9" t="str">
        <f t="shared" si="0"/>
        <v>Jan</v>
      </c>
      <c r="D7" s="9" t="s">
        <v>19</v>
      </c>
      <c r="E7" s="9" t="s">
        <v>40</v>
      </c>
      <c r="F7" s="9" t="s">
        <v>41</v>
      </c>
      <c r="G7" s="9" t="s">
        <v>27</v>
      </c>
      <c r="H7" s="9">
        <v>3</v>
      </c>
      <c r="I7" s="11">
        <v>3499</v>
      </c>
      <c r="J7" s="11">
        <v>2346</v>
      </c>
      <c r="K7" s="11">
        <f t="shared" si="1"/>
        <v>10497</v>
      </c>
      <c r="L7" s="11">
        <f t="shared" si="2"/>
        <v>7038</v>
      </c>
      <c r="M7" s="11">
        <f t="shared" si="3"/>
        <v>3459</v>
      </c>
    </row>
    <row r="8" spans="1:13" x14ac:dyDescent="0.35">
      <c r="A8" s="9" t="s">
        <v>42</v>
      </c>
      <c r="B8" s="10">
        <v>46031</v>
      </c>
      <c r="C8" s="9" t="str">
        <f t="shared" si="0"/>
        <v>Jan</v>
      </c>
      <c r="D8" s="9" t="s">
        <v>19</v>
      </c>
      <c r="E8" s="9" t="s">
        <v>40</v>
      </c>
      <c r="F8" s="9" t="s">
        <v>43</v>
      </c>
      <c r="G8" s="9" t="s">
        <v>44</v>
      </c>
      <c r="H8" s="9">
        <v>3</v>
      </c>
      <c r="I8" s="11">
        <v>799</v>
      </c>
      <c r="J8" s="11">
        <v>474</v>
      </c>
      <c r="K8" s="11">
        <f t="shared" si="1"/>
        <v>2397</v>
      </c>
      <c r="L8" s="11">
        <f t="shared" si="2"/>
        <v>1422</v>
      </c>
      <c r="M8" s="11">
        <f t="shared" si="3"/>
        <v>975</v>
      </c>
    </row>
    <row r="9" spans="1:13" x14ac:dyDescent="0.35">
      <c r="A9" s="9" t="s">
        <v>45</v>
      </c>
      <c r="B9" s="10">
        <v>46032</v>
      </c>
      <c r="C9" s="9" t="str">
        <f t="shared" si="0"/>
        <v>Jan</v>
      </c>
      <c r="D9" s="9" t="s">
        <v>36</v>
      </c>
      <c r="E9" s="9" t="s">
        <v>46</v>
      </c>
      <c r="F9" s="9" t="s">
        <v>47</v>
      </c>
      <c r="G9" s="9" t="s">
        <v>48</v>
      </c>
      <c r="H9" s="9">
        <v>3</v>
      </c>
      <c r="I9" s="11">
        <v>2999</v>
      </c>
      <c r="J9" s="11">
        <v>2003</v>
      </c>
      <c r="K9" s="11">
        <f t="shared" si="1"/>
        <v>8997</v>
      </c>
      <c r="L9" s="11">
        <f t="shared" si="2"/>
        <v>6009</v>
      </c>
      <c r="M9" s="11">
        <f t="shared" si="3"/>
        <v>2988</v>
      </c>
    </row>
    <row r="10" spans="1:13" x14ac:dyDescent="0.35">
      <c r="A10" s="9" t="s">
        <v>49</v>
      </c>
      <c r="B10" s="10">
        <v>46034</v>
      </c>
      <c r="C10" s="9" t="str">
        <f t="shared" si="0"/>
        <v>Jan</v>
      </c>
      <c r="D10" s="9" t="s">
        <v>19</v>
      </c>
      <c r="E10" s="9" t="s">
        <v>40</v>
      </c>
      <c r="F10" s="9" t="s">
        <v>41</v>
      </c>
      <c r="G10" s="9" t="s">
        <v>31</v>
      </c>
      <c r="H10" s="9">
        <v>3</v>
      </c>
      <c r="I10" s="11">
        <v>3499</v>
      </c>
      <c r="J10" s="11">
        <v>2346</v>
      </c>
      <c r="K10" s="11">
        <f t="shared" si="1"/>
        <v>10497</v>
      </c>
      <c r="L10" s="11">
        <f t="shared" si="2"/>
        <v>7038</v>
      </c>
      <c r="M10" s="11">
        <f t="shared" si="3"/>
        <v>3459</v>
      </c>
    </row>
    <row r="11" spans="1:13" x14ac:dyDescent="0.35">
      <c r="A11" s="9" t="s">
        <v>50</v>
      </c>
      <c r="B11" s="10">
        <v>46034</v>
      </c>
      <c r="C11" s="9" t="str">
        <f t="shared" si="0"/>
        <v>Jan</v>
      </c>
      <c r="D11" s="9" t="s">
        <v>36</v>
      </c>
      <c r="E11" s="9" t="s">
        <v>46</v>
      </c>
      <c r="F11" s="9" t="s">
        <v>51</v>
      </c>
      <c r="G11" s="9" t="s">
        <v>52</v>
      </c>
      <c r="H11" s="9">
        <v>1</v>
      </c>
      <c r="I11" s="11">
        <v>3499</v>
      </c>
      <c r="J11" s="11">
        <v>2218</v>
      </c>
      <c r="K11" s="11">
        <f t="shared" si="1"/>
        <v>3499</v>
      </c>
      <c r="L11" s="11">
        <f t="shared" si="2"/>
        <v>2218</v>
      </c>
      <c r="M11" s="11">
        <f t="shared" si="3"/>
        <v>1281</v>
      </c>
    </row>
    <row r="12" spans="1:13" x14ac:dyDescent="0.35">
      <c r="A12" s="9" t="s">
        <v>53</v>
      </c>
      <c r="B12" s="10">
        <v>46035</v>
      </c>
      <c r="C12" s="9" t="str">
        <f t="shared" si="0"/>
        <v>Jan</v>
      </c>
      <c r="D12" s="9" t="s">
        <v>24</v>
      </c>
      <c r="E12" s="9" t="s">
        <v>29</v>
      </c>
      <c r="F12" s="9" t="s">
        <v>54</v>
      </c>
      <c r="G12" s="9" t="s">
        <v>55</v>
      </c>
      <c r="H12" s="9">
        <v>2</v>
      </c>
      <c r="I12" s="11">
        <v>3499</v>
      </c>
      <c r="J12" s="11">
        <v>1985</v>
      </c>
      <c r="K12" s="11">
        <f t="shared" si="1"/>
        <v>6998</v>
      </c>
      <c r="L12" s="11">
        <f t="shared" si="2"/>
        <v>3970</v>
      </c>
      <c r="M12" s="11">
        <f t="shared" si="3"/>
        <v>3028</v>
      </c>
    </row>
    <row r="13" spans="1:13" x14ac:dyDescent="0.35">
      <c r="A13" s="9" t="s">
        <v>56</v>
      </c>
      <c r="B13" s="10">
        <v>46036</v>
      </c>
      <c r="C13" s="9" t="str">
        <f t="shared" si="0"/>
        <v>Jan</v>
      </c>
      <c r="D13" s="9" t="s">
        <v>19</v>
      </c>
      <c r="E13" s="9" t="s">
        <v>20</v>
      </c>
      <c r="F13" s="9" t="s">
        <v>33</v>
      </c>
      <c r="G13" s="9" t="s">
        <v>44</v>
      </c>
      <c r="H13" s="9">
        <v>3</v>
      </c>
      <c r="I13" s="11">
        <v>1999</v>
      </c>
      <c r="J13" s="11">
        <v>1140</v>
      </c>
      <c r="K13" s="11">
        <f t="shared" si="1"/>
        <v>5997</v>
      </c>
      <c r="L13" s="11">
        <f t="shared" si="2"/>
        <v>3420</v>
      </c>
      <c r="M13" s="11">
        <f t="shared" si="3"/>
        <v>2577</v>
      </c>
    </row>
    <row r="14" spans="1:13" x14ac:dyDescent="0.35">
      <c r="A14" s="9" t="s">
        <v>57</v>
      </c>
      <c r="B14" s="10">
        <v>46037</v>
      </c>
      <c r="C14" s="9" t="str">
        <f t="shared" si="0"/>
        <v>Jan</v>
      </c>
      <c r="D14" s="9" t="s">
        <v>19</v>
      </c>
      <c r="E14" s="9" t="s">
        <v>29</v>
      </c>
      <c r="F14" s="9" t="s">
        <v>58</v>
      </c>
      <c r="G14" s="9" t="s">
        <v>59</v>
      </c>
      <c r="H14" s="9">
        <v>1</v>
      </c>
      <c r="I14" s="11">
        <v>999</v>
      </c>
      <c r="J14" s="11">
        <v>697</v>
      </c>
      <c r="K14" s="11">
        <f t="shared" si="1"/>
        <v>999</v>
      </c>
      <c r="L14" s="11">
        <f t="shared" si="2"/>
        <v>697</v>
      </c>
      <c r="M14" s="11">
        <f t="shared" si="3"/>
        <v>302</v>
      </c>
    </row>
    <row r="15" spans="1:13" x14ac:dyDescent="0.35">
      <c r="A15" s="9" t="s">
        <v>60</v>
      </c>
      <c r="B15" s="10">
        <v>46037</v>
      </c>
      <c r="C15" s="9" t="str">
        <f t="shared" si="0"/>
        <v>Jan</v>
      </c>
      <c r="D15" s="9" t="s">
        <v>19</v>
      </c>
      <c r="E15" s="9" t="s">
        <v>25</v>
      </c>
      <c r="F15" s="9" t="s">
        <v>61</v>
      </c>
      <c r="G15" s="9" t="s">
        <v>62</v>
      </c>
      <c r="H15" s="9">
        <v>2</v>
      </c>
      <c r="I15" s="11">
        <v>999</v>
      </c>
      <c r="J15" s="11">
        <v>689</v>
      </c>
      <c r="K15" s="11">
        <f t="shared" si="1"/>
        <v>1998</v>
      </c>
      <c r="L15" s="11">
        <f t="shared" si="2"/>
        <v>1378</v>
      </c>
      <c r="M15" s="11">
        <f t="shared" si="3"/>
        <v>620</v>
      </c>
    </row>
    <row r="16" spans="1:13" x14ac:dyDescent="0.35">
      <c r="A16" s="9" t="s">
        <v>63</v>
      </c>
      <c r="B16" s="10">
        <v>46038</v>
      </c>
      <c r="C16" s="9" t="str">
        <f t="shared" si="0"/>
        <v>Jan</v>
      </c>
      <c r="D16" s="9" t="s">
        <v>36</v>
      </c>
      <c r="E16" s="9" t="s">
        <v>40</v>
      </c>
      <c r="F16" s="9" t="s">
        <v>43</v>
      </c>
      <c r="G16" s="9" t="s">
        <v>59</v>
      </c>
      <c r="H16" s="9">
        <v>2</v>
      </c>
      <c r="I16" s="11">
        <v>799</v>
      </c>
      <c r="J16" s="11">
        <v>474</v>
      </c>
      <c r="K16" s="11">
        <f t="shared" si="1"/>
        <v>1598</v>
      </c>
      <c r="L16" s="11">
        <f t="shared" si="2"/>
        <v>948</v>
      </c>
      <c r="M16" s="11">
        <f t="shared" si="3"/>
        <v>650</v>
      </c>
    </row>
    <row r="17" spans="1:13" x14ac:dyDescent="0.35">
      <c r="A17" s="9" t="s">
        <v>64</v>
      </c>
      <c r="B17" s="10">
        <v>46038</v>
      </c>
      <c r="C17" s="9" t="str">
        <f t="shared" si="0"/>
        <v>Jan</v>
      </c>
      <c r="D17" s="9" t="s">
        <v>24</v>
      </c>
      <c r="E17" s="9" t="s">
        <v>46</v>
      </c>
      <c r="F17" s="9" t="s">
        <v>65</v>
      </c>
      <c r="G17" s="9" t="s">
        <v>66</v>
      </c>
      <c r="H17" s="9">
        <v>1</v>
      </c>
      <c r="I17" s="11">
        <v>3499</v>
      </c>
      <c r="J17" s="11">
        <v>2064</v>
      </c>
      <c r="K17" s="11">
        <f t="shared" si="1"/>
        <v>3499</v>
      </c>
      <c r="L17" s="11">
        <f t="shared" si="2"/>
        <v>2064</v>
      </c>
      <c r="M17" s="11">
        <f t="shared" si="3"/>
        <v>1435</v>
      </c>
    </row>
    <row r="18" spans="1:13" x14ac:dyDescent="0.35">
      <c r="A18" s="9" t="s">
        <v>67</v>
      </c>
      <c r="B18" s="10">
        <v>46039</v>
      </c>
      <c r="C18" s="9" t="str">
        <f t="shared" si="0"/>
        <v>Jan</v>
      </c>
      <c r="D18" s="9" t="s">
        <v>68</v>
      </c>
      <c r="E18" s="9" t="s">
        <v>25</v>
      </c>
      <c r="F18" s="9" t="s">
        <v>26</v>
      </c>
      <c r="G18" s="9" t="s">
        <v>22</v>
      </c>
      <c r="H18" s="9">
        <v>1</v>
      </c>
      <c r="I18" s="11">
        <v>1999</v>
      </c>
      <c r="J18" s="11">
        <v>1211</v>
      </c>
      <c r="K18" s="11">
        <f t="shared" si="1"/>
        <v>1999</v>
      </c>
      <c r="L18" s="11">
        <f t="shared" si="2"/>
        <v>1211</v>
      </c>
      <c r="M18" s="11">
        <f t="shared" si="3"/>
        <v>788</v>
      </c>
    </row>
    <row r="19" spans="1:13" x14ac:dyDescent="0.35">
      <c r="A19" s="9" t="s">
        <v>69</v>
      </c>
      <c r="B19" s="10">
        <v>46041</v>
      </c>
      <c r="C19" s="9" t="str">
        <f t="shared" si="0"/>
        <v>Jan</v>
      </c>
      <c r="D19" s="9" t="s">
        <v>19</v>
      </c>
      <c r="E19" s="9" t="s">
        <v>46</v>
      </c>
      <c r="F19" s="9" t="s">
        <v>65</v>
      </c>
      <c r="G19" s="9" t="s">
        <v>70</v>
      </c>
      <c r="H19" s="9">
        <v>1</v>
      </c>
      <c r="I19" s="11">
        <v>3499</v>
      </c>
      <c r="J19" s="11">
        <v>2064</v>
      </c>
      <c r="K19" s="11">
        <f t="shared" si="1"/>
        <v>3499</v>
      </c>
      <c r="L19" s="11">
        <f t="shared" si="2"/>
        <v>2064</v>
      </c>
      <c r="M19" s="11">
        <f t="shared" si="3"/>
        <v>1435</v>
      </c>
    </row>
    <row r="20" spans="1:13" x14ac:dyDescent="0.35">
      <c r="A20" s="9" t="s">
        <v>71</v>
      </c>
      <c r="B20" s="10">
        <v>46041</v>
      </c>
      <c r="C20" s="9" t="str">
        <f t="shared" si="0"/>
        <v>Jan</v>
      </c>
      <c r="D20" s="9" t="s">
        <v>24</v>
      </c>
      <c r="E20" s="9" t="s">
        <v>25</v>
      </c>
      <c r="F20" s="9" t="s">
        <v>37</v>
      </c>
      <c r="G20" s="9" t="s">
        <v>52</v>
      </c>
      <c r="H20" s="9">
        <v>2</v>
      </c>
      <c r="I20" s="11">
        <v>499</v>
      </c>
      <c r="J20" s="11">
        <v>350</v>
      </c>
      <c r="K20" s="11">
        <f t="shared" si="1"/>
        <v>998</v>
      </c>
      <c r="L20" s="11">
        <f t="shared" si="2"/>
        <v>700</v>
      </c>
      <c r="M20" s="11">
        <f t="shared" si="3"/>
        <v>298</v>
      </c>
    </row>
    <row r="21" spans="1:13" x14ac:dyDescent="0.35">
      <c r="A21" s="9" t="s">
        <v>72</v>
      </c>
      <c r="B21" s="10">
        <v>46041</v>
      </c>
      <c r="C21" s="9" t="str">
        <f t="shared" si="0"/>
        <v>Jan</v>
      </c>
      <c r="D21" s="9" t="s">
        <v>19</v>
      </c>
      <c r="E21" s="9" t="s">
        <v>25</v>
      </c>
      <c r="F21" s="9" t="s">
        <v>26</v>
      </c>
      <c r="G21" s="9" t="s">
        <v>73</v>
      </c>
      <c r="H21" s="9">
        <v>1</v>
      </c>
      <c r="I21" s="11">
        <v>1999</v>
      </c>
      <c r="J21" s="11">
        <v>1211</v>
      </c>
      <c r="K21" s="11">
        <f t="shared" si="1"/>
        <v>1999</v>
      </c>
      <c r="L21" s="11">
        <f t="shared" si="2"/>
        <v>1211</v>
      </c>
      <c r="M21" s="11">
        <f t="shared" si="3"/>
        <v>788</v>
      </c>
    </row>
    <row r="22" spans="1:13" x14ac:dyDescent="0.35">
      <c r="A22" s="9" t="s">
        <v>74</v>
      </c>
      <c r="B22" s="10">
        <v>46043</v>
      </c>
      <c r="C22" s="9" t="str">
        <f t="shared" si="0"/>
        <v>Jan</v>
      </c>
      <c r="D22" s="9" t="s">
        <v>19</v>
      </c>
      <c r="E22" s="9" t="s">
        <v>29</v>
      </c>
      <c r="F22" s="9" t="s">
        <v>75</v>
      </c>
      <c r="G22" s="9" t="s">
        <v>76</v>
      </c>
      <c r="H22" s="9">
        <v>1</v>
      </c>
      <c r="I22" s="11">
        <v>799</v>
      </c>
      <c r="J22" s="11">
        <v>443</v>
      </c>
      <c r="K22" s="11">
        <f t="shared" si="1"/>
        <v>799</v>
      </c>
      <c r="L22" s="11">
        <f t="shared" si="2"/>
        <v>443</v>
      </c>
      <c r="M22" s="11">
        <f t="shared" si="3"/>
        <v>356</v>
      </c>
    </row>
    <row r="23" spans="1:13" x14ac:dyDescent="0.35">
      <c r="A23" s="9" t="s">
        <v>77</v>
      </c>
      <c r="B23" s="10">
        <v>46043</v>
      </c>
      <c r="C23" s="9" t="str">
        <f t="shared" si="0"/>
        <v>Jan</v>
      </c>
      <c r="D23" s="9" t="s">
        <v>24</v>
      </c>
      <c r="E23" s="9" t="s">
        <v>46</v>
      </c>
      <c r="F23" s="9" t="s">
        <v>51</v>
      </c>
      <c r="G23" s="9" t="s">
        <v>31</v>
      </c>
      <c r="H23" s="9">
        <v>1</v>
      </c>
      <c r="I23" s="11">
        <v>3499</v>
      </c>
      <c r="J23" s="11">
        <v>2218</v>
      </c>
      <c r="K23" s="11">
        <f t="shared" si="1"/>
        <v>3499</v>
      </c>
      <c r="L23" s="11">
        <f t="shared" si="2"/>
        <v>2218</v>
      </c>
      <c r="M23" s="11">
        <f t="shared" si="3"/>
        <v>1281</v>
      </c>
    </row>
    <row r="24" spans="1:13" x14ac:dyDescent="0.35">
      <c r="A24" s="9" t="s">
        <v>78</v>
      </c>
      <c r="B24" s="10">
        <v>46044</v>
      </c>
      <c r="C24" s="9" t="str">
        <f t="shared" si="0"/>
        <v>Jan</v>
      </c>
      <c r="D24" s="9" t="s">
        <v>36</v>
      </c>
      <c r="E24" s="9" t="s">
        <v>46</v>
      </c>
      <c r="F24" s="9" t="s">
        <v>47</v>
      </c>
      <c r="G24" s="9" t="s">
        <v>79</v>
      </c>
      <c r="H24" s="9">
        <v>1</v>
      </c>
      <c r="I24" s="11">
        <v>2999</v>
      </c>
      <c r="J24" s="11">
        <v>2003</v>
      </c>
      <c r="K24" s="11">
        <f t="shared" si="1"/>
        <v>2999</v>
      </c>
      <c r="L24" s="11">
        <f t="shared" si="2"/>
        <v>2003</v>
      </c>
      <c r="M24" s="11">
        <f t="shared" si="3"/>
        <v>996</v>
      </c>
    </row>
    <row r="25" spans="1:13" x14ac:dyDescent="0.35">
      <c r="A25" s="9" t="s">
        <v>80</v>
      </c>
      <c r="B25" s="10">
        <v>46044</v>
      </c>
      <c r="C25" s="9" t="str">
        <f t="shared" si="0"/>
        <v>Jan</v>
      </c>
      <c r="D25" s="9" t="s">
        <v>36</v>
      </c>
      <c r="E25" s="9" t="s">
        <v>25</v>
      </c>
      <c r="F25" s="9" t="s">
        <v>26</v>
      </c>
      <c r="G25" s="9" t="s">
        <v>48</v>
      </c>
      <c r="H25" s="9">
        <v>2</v>
      </c>
      <c r="I25" s="11">
        <v>1999</v>
      </c>
      <c r="J25" s="11">
        <v>1211</v>
      </c>
      <c r="K25" s="11">
        <f t="shared" si="1"/>
        <v>3998</v>
      </c>
      <c r="L25" s="11">
        <f t="shared" si="2"/>
        <v>2422</v>
      </c>
      <c r="M25" s="11">
        <f t="shared" si="3"/>
        <v>1576</v>
      </c>
    </row>
    <row r="26" spans="1:13" x14ac:dyDescent="0.35">
      <c r="A26" s="9" t="s">
        <v>81</v>
      </c>
      <c r="B26" s="10">
        <v>46044</v>
      </c>
      <c r="C26" s="9" t="str">
        <f t="shared" si="0"/>
        <v>Jan</v>
      </c>
      <c r="D26" s="9" t="s">
        <v>24</v>
      </c>
      <c r="E26" s="9" t="s">
        <v>20</v>
      </c>
      <c r="F26" s="9" t="s">
        <v>33</v>
      </c>
      <c r="G26" s="9" t="s">
        <v>22</v>
      </c>
      <c r="H26" s="9">
        <v>1</v>
      </c>
      <c r="I26" s="11">
        <v>1999</v>
      </c>
      <c r="J26" s="11">
        <v>1140</v>
      </c>
      <c r="K26" s="11">
        <f t="shared" si="1"/>
        <v>1999</v>
      </c>
      <c r="L26" s="11">
        <f t="shared" si="2"/>
        <v>1140</v>
      </c>
      <c r="M26" s="11">
        <f t="shared" si="3"/>
        <v>859</v>
      </c>
    </row>
    <row r="27" spans="1:13" x14ac:dyDescent="0.35">
      <c r="A27" s="9" t="s">
        <v>82</v>
      </c>
      <c r="B27" s="10">
        <v>46045</v>
      </c>
      <c r="C27" s="9" t="str">
        <f t="shared" si="0"/>
        <v>Jan</v>
      </c>
      <c r="D27" s="9" t="s">
        <v>19</v>
      </c>
      <c r="E27" s="9" t="s">
        <v>20</v>
      </c>
      <c r="F27" s="9" t="s">
        <v>33</v>
      </c>
      <c r="G27" s="9" t="s">
        <v>83</v>
      </c>
      <c r="H27" s="9">
        <v>1</v>
      </c>
      <c r="I27" s="11">
        <v>1999</v>
      </c>
      <c r="J27" s="11">
        <v>1140</v>
      </c>
      <c r="K27" s="11">
        <f t="shared" si="1"/>
        <v>1999</v>
      </c>
      <c r="L27" s="11">
        <f t="shared" si="2"/>
        <v>1140</v>
      </c>
      <c r="M27" s="11">
        <f t="shared" si="3"/>
        <v>859</v>
      </c>
    </row>
    <row r="28" spans="1:13" x14ac:dyDescent="0.35">
      <c r="A28" s="9" t="s">
        <v>84</v>
      </c>
      <c r="B28" s="10">
        <v>46048</v>
      </c>
      <c r="C28" s="9" t="str">
        <f t="shared" si="0"/>
        <v>Jan</v>
      </c>
      <c r="D28" s="9" t="s">
        <v>68</v>
      </c>
      <c r="E28" s="9" t="s">
        <v>29</v>
      </c>
      <c r="F28" s="9" t="s">
        <v>30</v>
      </c>
      <c r="G28" s="9" t="s">
        <v>85</v>
      </c>
      <c r="H28" s="9">
        <v>2</v>
      </c>
      <c r="I28" s="11">
        <v>1499</v>
      </c>
      <c r="J28" s="11">
        <v>898</v>
      </c>
      <c r="K28" s="11">
        <f t="shared" si="1"/>
        <v>2998</v>
      </c>
      <c r="L28" s="11">
        <f t="shared" si="2"/>
        <v>1796</v>
      </c>
      <c r="M28" s="11">
        <f t="shared" si="3"/>
        <v>1202</v>
      </c>
    </row>
    <row r="29" spans="1:13" x14ac:dyDescent="0.35">
      <c r="A29" s="9" t="s">
        <v>86</v>
      </c>
      <c r="B29" s="10">
        <v>46049</v>
      </c>
      <c r="C29" s="9" t="str">
        <f t="shared" si="0"/>
        <v>Jan</v>
      </c>
      <c r="D29" s="9" t="s">
        <v>68</v>
      </c>
      <c r="E29" s="9" t="s">
        <v>25</v>
      </c>
      <c r="F29" s="9" t="s">
        <v>37</v>
      </c>
      <c r="G29" s="9" t="s">
        <v>70</v>
      </c>
      <c r="H29" s="9">
        <v>1</v>
      </c>
      <c r="I29" s="11">
        <v>499</v>
      </c>
      <c r="J29" s="11">
        <v>350</v>
      </c>
      <c r="K29" s="11">
        <f t="shared" si="1"/>
        <v>499</v>
      </c>
      <c r="L29" s="11">
        <f t="shared" si="2"/>
        <v>350</v>
      </c>
      <c r="M29" s="11">
        <f t="shared" si="3"/>
        <v>149</v>
      </c>
    </row>
    <row r="30" spans="1:13" x14ac:dyDescent="0.35">
      <c r="A30" s="9" t="s">
        <v>87</v>
      </c>
      <c r="B30" s="10">
        <v>46050</v>
      </c>
      <c r="C30" s="9" t="str">
        <f t="shared" si="0"/>
        <v>Jan</v>
      </c>
      <c r="D30" s="9" t="s">
        <v>36</v>
      </c>
      <c r="E30" s="9" t="s">
        <v>40</v>
      </c>
      <c r="F30" s="9" t="s">
        <v>41</v>
      </c>
      <c r="G30" s="9" t="s">
        <v>48</v>
      </c>
      <c r="H30" s="9">
        <v>3</v>
      </c>
      <c r="I30" s="11">
        <v>3499</v>
      </c>
      <c r="J30" s="11">
        <v>2346</v>
      </c>
      <c r="K30" s="11">
        <f t="shared" si="1"/>
        <v>10497</v>
      </c>
      <c r="L30" s="11">
        <f t="shared" si="2"/>
        <v>7038</v>
      </c>
      <c r="M30" s="11">
        <f t="shared" si="3"/>
        <v>3459</v>
      </c>
    </row>
    <row r="31" spans="1:13" x14ac:dyDescent="0.35">
      <c r="A31" s="9" t="s">
        <v>88</v>
      </c>
      <c r="B31" s="10">
        <v>46050</v>
      </c>
      <c r="C31" s="9" t="str">
        <f t="shared" si="0"/>
        <v>Jan</v>
      </c>
      <c r="D31" s="9" t="s">
        <v>36</v>
      </c>
      <c r="E31" s="9" t="s">
        <v>25</v>
      </c>
      <c r="F31" s="9" t="s">
        <v>61</v>
      </c>
      <c r="G31" s="9" t="s">
        <v>83</v>
      </c>
      <c r="H31" s="9">
        <v>2</v>
      </c>
      <c r="I31" s="11">
        <v>999</v>
      </c>
      <c r="J31" s="11">
        <v>689</v>
      </c>
      <c r="K31" s="11">
        <f t="shared" si="1"/>
        <v>1998</v>
      </c>
      <c r="L31" s="11">
        <f t="shared" si="2"/>
        <v>1378</v>
      </c>
      <c r="M31" s="11">
        <f t="shared" si="3"/>
        <v>620</v>
      </c>
    </row>
    <row r="32" spans="1:13" x14ac:dyDescent="0.35">
      <c r="A32" s="9" t="s">
        <v>89</v>
      </c>
      <c r="B32" s="10">
        <v>46050</v>
      </c>
      <c r="C32" s="9" t="str">
        <f t="shared" si="0"/>
        <v>Jan</v>
      </c>
      <c r="D32" s="9" t="s">
        <v>19</v>
      </c>
      <c r="E32" s="9" t="s">
        <v>25</v>
      </c>
      <c r="F32" s="9" t="s">
        <v>37</v>
      </c>
      <c r="G32" s="9" t="s">
        <v>90</v>
      </c>
      <c r="H32" s="9">
        <v>2</v>
      </c>
      <c r="I32" s="11">
        <v>499</v>
      </c>
      <c r="J32" s="11">
        <v>350</v>
      </c>
      <c r="K32" s="11">
        <f t="shared" si="1"/>
        <v>998</v>
      </c>
      <c r="L32" s="11">
        <f t="shared" si="2"/>
        <v>700</v>
      </c>
      <c r="M32" s="11">
        <f t="shared" si="3"/>
        <v>298</v>
      </c>
    </row>
    <row r="33" spans="1:13" x14ac:dyDescent="0.35">
      <c r="A33" s="9" t="s">
        <v>91</v>
      </c>
      <c r="B33" s="10">
        <v>46051</v>
      </c>
      <c r="C33" s="9" t="str">
        <f t="shared" si="0"/>
        <v>Jan</v>
      </c>
      <c r="D33" s="9" t="s">
        <v>24</v>
      </c>
      <c r="E33" s="9" t="s">
        <v>29</v>
      </c>
      <c r="F33" s="9" t="s">
        <v>54</v>
      </c>
      <c r="G33" s="9" t="s">
        <v>92</v>
      </c>
      <c r="H33" s="9">
        <v>1</v>
      </c>
      <c r="I33" s="11">
        <v>3499</v>
      </c>
      <c r="J33" s="11">
        <v>1985</v>
      </c>
      <c r="K33" s="11">
        <f t="shared" si="1"/>
        <v>3499</v>
      </c>
      <c r="L33" s="11">
        <f t="shared" si="2"/>
        <v>1985</v>
      </c>
      <c r="M33" s="11">
        <f t="shared" si="3"/>
        <v>1514</v>
      </c>
    </row>
    <row r="34" spans="1:13" x14ac:dyDescent="0.35">
      <c r="A34" s="9" t="s">
        <v>93</v>
      </c>
      <c r="B34" s="10">
        <v>46052</v>
      </c>
      <c r="C34" s="9" t="str">
        <f t="shared" si="0"/>
        <v>Jan</v>
      </c>
      <c r="D34" s="9" t="s">
        <v>36</v>
      </c>
      <c r="E34" s="9" t="s">
        <v>46</v>
      </c>
      <c r="F34" s="9" t="s">
        <v>47</v>
      </c>
      <c r="G34" s="9" t="s">
        <v>94</v>
      </c>
      <c r="H34" s="9">
        <v>1</v>
      </c>
      <c r="I34" s="11">
        <v>2999</v>
      </c>
      <c r="J34" s="11">
        <v>2003</v>
      </c>
      <c r="K34" s="11">
        <f t="shared" si="1"/>
        <v>2999</v>
      </c>
      <c r="L34" s="11">
        <f t="shared" si="2"/>
        <v>2003</v>
      </c>
      <c r="M34" s="11">
        <f t="shared" si="3"/>
        <v>996</v>
      </c>
    </row>
    <row r="35" spans="1:13" x14ac:dyDescent="0.35">
      <c r="A35" s="9" t="s">
        <v>95</v>
      </c>
      <c r="B35" s="10">
        <v>46053</v>
      </c>
      <c r="C35" s="9" t="str">
        <f t="shared" si="0"/>
        <v>Jan</v>
      </c>
      <c r="D35" s="9" t="s">
        <v>24</v>
      </c>
      <c r="E35" s="9" t="s">
        <v>29</v>
      </c>
      <c r="F35" s="9" t="s">
        <v>54</v>
      </c>
      <c r="G35" s="9" t="s">
        <v>96</v>
      </c>
      <c r="H35" s="9">
        <v>1</v>
      </c>
      <c r="I35" s="11">
        <v>3499</v>
      </c>
      <c r="J35" s="11">
        <v>1985</v>
      </c>
      <c r="K35" s="11">
        <f t="shared" si="1"/>
        <v>3499</v>
      </c>
      <c r="L35" s="11">
        <f t="shared" si="2"/>
        <v>1985</v>
      </c>
      <c r="M35" s="11">
        <f t="shared" si="3"/>
        <v>1514</v>
      </c>
    </row>
    <row r="36" spans="1:13" x14ac:dyDescent="0.35">
      <c r="A36" s="9" t="s">
        <v>97</v>
      </c>
      <c r="B36" s="10">
        <v>46056</v>
      </c>
      <c r="C36" s="9" t="str">
        <f t="shared" si="0"/>
        <v>Feb</v>
      </c>
      <c r="D36" s="9" t="s">
        <v>36</v>
      </c>
      <c r="E36" s="9" t="s">
        <v>29</v>
      </c>
      <c r="F36" s="9" t="s">
        <v>54</v>
      </c>
      <c r="G36" s="9" t="s">
        <v>34</v>
      </c>
      <c r="H36" s="9">
        <v>2</v>
      </c>
      <c r="I36" s="11">
        <v>3499</v>
      </c>
      <c r="J36" s="11">
        <v>1985</v>
      </c>
      <c r="K36" s="11">
        <f t="shared" si="1"/>
        <v>6998</v>
      </c>
      <c r="L36" s="11">
        <f t="shared" si="2"/>
        <v>3970</v>
      </c>
      <c r="M36" s="11">
        <f t="shared" si="3"/>
        <v>3028</v>
      </c>
    </row>
    <row r="37" spans="1:13" x14ac:dyDescent="0.35">
      <c r="A37" s="9" t="s">
        <v>98</v>
      </c>
      <c r="B37" s="10">
        <v>46056</v>
      </c>
      <c r="C37" s="9" t="str">
        <f t="shared" si="0"/>
        <v>Feb</v>
      </c>
      <c r="D37" s="9" t="s">
        <v>36</v>
      </c>
      <c r="E37" s="9" t="s">
        <v>46</v>
      </c>
      <c r="F37" s="9" t="s">
        <v>65</v>
      </c>
      <c r="G37" s="9" t="s">
        <v>99</v>
      </c>
      <c r="H37" s="9">
        <v>2</v>
      </c>
      <c r="I37" s="11">
        <v>3499</v>
      </c>
      <c r="J37" s="11">
        <v>2064</v>
      </c>
      <c r="K37" s="11">
        <f t="shared" si="1"/>
        <v>6998</v>
      </c>
      <c r="L37" s="11">
        <f t="shared" si="2"/>
        <v>4128</v>
      </c>
      <c r="M37" s="11">
        <f t="shared" si="3"/>
        <v>2870</v>
      </c>
    </row>
    <row r="38" spans="1:13" x14ac:dyDescent="0.35">
      <c r="A38" s="9" t="s">
        <v>100</v>
      </c>
      <c r="B38" s="10">
        <v>46057</v>
      </c>
      <c r="C38" s="9" t="str">
        <f t="shared" si="0"/>
        <v>Feb</v>
      </c>
      <c r="D38" s="9" t="s">
        <v>68</v>
      </c>
      <c r="E38" s="9" t="s">
        <v>25</v>
      </c>
      <c r="F38" s="9" t="s">
        <v>37</v>
      </c>
      <c r="G38" s="9" t="s">
        <v>101</v>
      </c>
      <c r="H38" s="9">
        <v>2</v>
      </c>
      <c r="I38" s="11">
        <v>499</v>
      </c>
      <c r="J38" s="11">
        <v>350</v>
      </c>
      <c r="K38" s="11">
        <f t="shared" si="1"/>
        <v>998</v>
      </c>
      <c r="L38" s="11">
        <f t="shared" si="2"/>
        <v>700</v>
      </c>
      <c r="M38" s="11">
        <f t="shared" si="3"/>
        <v>298</v>
      </c>
    </row>
    <row r="39" spans="1:13" x14ac:dyDescent="0.35">
      <c r="A39" s="9" t="s">
        <v>102</v>
      </c>
      <c r="B39" s="10">
        <v>46058</v>
      </c>
      <c r="C39" s="9" t="str">
        <f t="shared" si="0"/>
        <v>Feb</v>
      </c>
      <c r="D39" s="9" t="s">
        <v>24</v>
      </c>
      <c r="E39" s="9" t="s">
        <v>25</v>
      </c>
      <c r="F39" s="9" t="s">
        <v>37</v>
      </c>
      <c r="G39" s="9" t="s">
        <v>66</v>
      </c>
      <c r="H39" s="9">
        <v>2</v>
      </c>
      <c r="I39" s="11">
        <v>499</v>
      </c>
      <c r="J39" s="11">
        <v>350</v>
      </c>
      <c r="K39" s="11">
        <f t="shared" si="1"/>
        <v>998</v>
      </c>
      <c r="L39" s="11">
        <f t="shared" si="2"/>
        <v>700</v>
      </c>
      <c r="M39" s="11">
        <f t="shared" si="3"/>
        <v>298</v>
      </c>
    </row>
    <row r="40" spans="1:13" x14ac:dyDescent="0.35">
      <c r="A40" s="9" t="s">
        <v>103</v>
      </c>
      <c r="B40" s="10">
        <v>46059</v>
      </c>
      <c r="C40" s="9" t="str">
        <f t="shared" si="0"/>
        <v>Feb</v>
      </c>
      <c r="D40" s="9" t="s">
        <v>36</v>
      </c>
      <c r="E40" s="9" t="s">
        <v>29</v>
      </c>
      <c r="F40" s="9" t="s">
        <v>54</v>
      </c>
      <c r="G40" s="9" t="s">
        <v>104</v>
      </c>
      <c r="H40" s="9">
        <v>2</v>
      </c>
      <c r="I40" s="11">
        <v>3499</v>
      </c>
      <c r="J40" s="11">
        <v>1985</v>
      </c>
      <c r="K40" s="11">
        <f t="shared" si="1"/>
        <v>6998</v>
      </c>
      <c r="L40" s="11">
        <f t="shared" si="2"/>
        <v>3970</v>
      </c>
      <c r="M40" s="11">
        <f t="shared" si="3"/>
        <v>3028</v>
      </c>
    </row>
    <row r="41" spans="1:13" x14ac:dyDescent="0.35">
      <c r="A41" s="9" t="s">
        <v>105</v>
      </c>
      <c r="B41" s="10">
        <v>46060</v>
      </c>
      <c r="C41" s="9" t="str">
        <f t="shared" si="0"/>
        <v>Feb</v>
      </c>
      <c r="D41" s="9" t="s">
        <v>19</v>
      </c>
      <c r="E41" s="9" t="s">
        <v>29</v>
      </c>
      <c r="F41" s="9" t="s">
        <v>58</v>
      </c>
      <c r="G41" s="9" t="s">
        <v>27</v>
      </c>
      <c r="H41" s="9">
        <v>1</v>
      </c>
      <c r="I41" s="11">
        <v>999</v>
      </c>
      <c r="J41" s="11">
        <v>697</v>
      </c>
      <c r="K41" s="11">
        <f t="shared" si="1"/>
        <v>999</v>
      </c>
      <c r="L41" s="11">
        <f t="shared" si="2"/>
        <v>697</v>
      </c>
      <c r="M41" s="11">
        <f t="shared" si="3"/>
        <v>302</v>
      </c>
    </row>
    <row r="42" spans="1:13" x14ac:dyDescent="0.35">
      <c r="A42" s="9" t="s">
        <v>106</v>
      </c>
      <c r="B42" s="10">
        <v>46060</v>
      </c>
      <c r="C42" s="9" t="str">
        <f t="shared" si="0"/>
        <v>Feb</v>
      </c>
      <c r="D42" s="9" t="s">
        <v>24</v>
      </c>
      <c r="E42" s="9" t="s">
        <v>20</v>
      </c>
      <c r="F42" s="9" t="s">
        <v>21</v>
      </c>
      <c r="G42" s="9" t="s">
        <v>90</v>
      </c>
      <c r="H42" s="9">
        <v>2</v>
      </c>
      <c r="I42" s="11">
        <v>1299</v>
      </c>
      <c r="J42" s="11">
        <v>963</v>
      </c>
      <c r="K42" s="11">
        <f t="shared" si="1"/>
        <v>2598</v>
      </c>
      <c r="L42" s="11">
        <f t="shared" si="2"/>
        <v>1926</v>
      </c>
      <c r="M42" s="11">
        <f t="shared" si="3"/>
        <v>672</v>
      </c>
    </row>
    <row r="43" spans="1:13" x14ac:dyDescent="0.35">
      <c r="A43" s="9" t="s">
        <v>107</v>
      </c>
      <c r="B43" s="10">
        <v>46063</v>
      </c>
      <c r="C43" s="9" t="str">
        <f t="shared" si="0"/>
        <v>Feb</v>
      </c>
      <c r="D43" s="9" t="s">
        <v>24</v>
      </c>
      <c r="E43" s="9" t="s">
        <v>20</v>
      </c>
      <c r="F43" s="9" t="s">
        <v>21</v>
      </c>
      <c r="G43" s="9" t="s">
        <v>108</v>
      </c>
      <c r="H43" s="9">
        <v>1</v>
      </c>
      <c r="I43" s="11">
        <v>1299</v>
      </c>
      <c r="J43" s="11">
        <v>963</v>
      </c>
      <c r="K43" s="11">
        <f t="shared" si="1"/>
        <v>1299</v>
      </c>
      <c r="L43" s="11">
        <f t="shared" si="2"/>
        <v>963</v>
      </c>
      <c r="M43" s="11">
        <f t="shared" si="3"/>
        <v>336</v>
      </c>
    </row>
    <row r="44" spans="1:13" x14ac:dyDescent="0.35">
      <c r="A44" s="9" t="s">
        <v>109</v>
      </c>
      <c r="B44" s="10">
        <v>46063</v>
      </c>
      <c r="C44" s="9" t="str">
        <f t="shared" si="0"/>
        <v>Feb</v>
      </c>
      <c r="D44" s="9" t="s">
        <v>68</v>
      </c>
      <c r="E44" s="9" t="s">
        <v>29</v>
      </c>
      <c r="F44" s="9" t="s">
        <v>58</v>
      </c>
      <c r="G44" s="9" t="s">
        <v>110</v>
      </c>
      <c r="H44" s="9">
        <v>2</v>
      </c>
      <c r="I44" s="11">
        <v>999</v>
      </c>
      <c r="J44" s="11">
        <v>697</v>
      </c>
      <c r="K44" s="11">
        <f t="shared" si="1"/>
        <v>1998</v>
      </c>
      <c r="L44" s="11">
        <f t="shared" si="2"/>
        <v>1394</v>
      </c>
      <c r="M44" s="11">
        <f t="shared" si="3"/>
        <v>604</v>
      </c>
    </row>
    <row r="45" spans="1:13" x14ac:dyDescent="0.35">
      <c r="A45" s="9" t="s">
        <v>111</v>
      </c>
      <c r="B45" s="10">
        <v>46063</v>
      </c>
      <c r="C45" s="9" t="str">
        <f t="shared" si="0"/>
        <v>Feb</v>
      </c>
      <c r="D45" s="9" t="s">
        <v>68</v>
      </c>
      <c r="E45" s="9" t="s">
        <v>29</v>
      </c>
      <c r="F45" s="9" t="s">
        <v>54</v>
      </c>
      <c r="G45" s="9" t="s">
        <v>66</v>
      </c>
      <c r="H45" s="9">
        <v>1</v>
      </c>
      <c r="I45" s="11">
        <v>3499</v>
      </c>
      <c r="J45" s="11">
        <v>1985</v>
      </c>
      <c r="K45" s="11">
        <f t="shared" si="1"/>
        <v>3499</v>
      </c>
      <c r="L45" s="11">
        <f t="shared" si="2"/>
        <v>1985</v>
      </c>
      <c r="M45" s="11">
        <f t="shared" si="3"/>
        <v>1514</v>
      </c>
    </row>
    <row r="46" spans="1:13" x14ac:dyDescent="0.35">
      <c r="A46" s="9" t="s">
        <v>112</v>
      </c>
      <c r="B46" s="10">
        <v>46064</v>
      </c>
      <c r="C46" s="9" t="str">
        <f t="shared" si="0"/>
        <v>Feb</v>
      </c>
      <c r="D46" s="9" t="s">
        <v>68</v>
      </c>
      <c r="E46" s="9" t="s">
        <v>40</v>
      </c>
      <c r="F46" s="9" t="s">
        <v>113</v>
      </c>
      <c r="G46" s="9" t="s">
        <v>38</v>
      </c>
      <c r="H46" s="9">
        <v>2</v>
      </c>
      <c r="I46" s="11">
        <v>2499</v>
      </c>
      <c r="J46" s="11">
        <v>1390</v>
      </c>
      <c r="K46" s="11">
        <f t="shared" si="1"/>
        <v>4998</v>
      </c>
      <c r="L46" s="11">
        <f t="shared" si="2"/>
        <v>2780</v>
      </c>
      <c r="M46" s="11">
        <f t="shared" si="3"/>
        <v>2218</v>
      </c>
    </row>
    <row r="47" spans="1:13" x14ac:dyDescent="0.35">
      <c r="A47" s="9" t="s">
        <v>114</v>
      </c>
      <c r="B47" s="10">
        <v>46064</v>
      </c>
      <c r="C47" s="9" t="str">
        <f t="shared" si="0"/>
        <v>Feb</v>
      </c>
      <c r="D47" s="9" t="s">
        <v>68</v>
      </c>
      <c r="E47" s="9" t="s">
        <v>25</v>
      </c>
      <c r="F47" s="9" t="s">
        <v>61</v>
      </c>
      <c r="G47" s="9" t="s">
        <v>79</v>
      </c>
      <c r="H47" s="9">
        <v>1</v>
      </c>
      <c r="I47" s="11">
        <v>999</v>
      </c>
      <c r="J47" s="11">
        <v>689</v>
      </c>
      <c r="K47" s="11">
        <f t="shared" si="1"/>
        <v>999</v>
      </c>
      <c r="L47" s="11">
        <f t="shared" si="2"/>
        <v>689</v>
      </c>
      <c r="M47" s="11">
        <f t="shared" si="3"/>
        <v>310</v>
      </c>
    </row>
    <row r="48" spans="1:13" x14ac:dyDescent="0.35">
      <c r="A48" s="9" t="s">
        <v>115</v>
      </c>
      <c r="B48" s="10">
        <v>46065</v>
      </c>
      <c r="C48" s="9" t="str">
        <f t="shared" si="0"/>
        <v>Feb</v>
      </c>
      <c r="D48" s="9" t="s">
        <v>24</v>
      </c>
      <c r="E48" s="9" t="s">
        <v>46</v>
      </c>
      <c r="F48" s="9" t="s">
        <v>47</v>
      </c>
      <c r="G48" s="9" t="s">
        <v>55</v>
      </c>
      <c r="H48" s="9">
        <v>1</v>
      </c>
      <c r="I48" s="11">
        <v>2999</v>
      </c>
      <c r="J48" s="11">
        <v>2003</v>
      </c>
      <c r="K48" s="11">
        <f t="shared" si="1"/>
        <v>2999</v>
      </c>
      <c r="L48" s="11">
        <f t="shared" si="2"/>
        <v>2003</v>
      </c>
      <c r="M48" s="11">
        <f t="shared" si="3"/>
        <v>996</v>
      </c>
    </row>
    <row r="49" spans="1:13" x14ac:dyDescent="0.35">
      <c r="A49" s="9" t="s">
        <v>116</v>
      </c>
      <c r="B49" s="10">
        <v>46067</v>
      </c>
      <c r="C49" s="9" t="str">
        <f t="shared" si="0"/>
        <v>Feb</v>
      </c>
      <c r="D49" s="9" t="s">
        <v>24</v>
      </c>
      <c r="E49" s="9" t="s">
        <v>29</v>
      </c>
      <c r="F49" s="9" t="s">
        <v>58</v>
      </c>
      <c r="G49" s="9" t="s">
        <v>76</v>
      </c>
      <c r="H49" s="9">
        <v>1</v>
      </c>
      <c r="I49" s="11">
        <v>999</v>
      </c>
      <c r="J49" s="11">
        <v>697</v>
      </c>
      <c r="K49" s="11">
        <f t="shared" si="1"/>
        <v>999</v>
      </c>
      <c r="L49" s="11">
        <f t="shared" si="2"/>
        <v>697</v>
      </c>
      <c r="M49" s="11">
        <f t="shared" si="3"/>
        <v>302</v>
      </c>
    </row>
    <row r="50" spans="1:13" x14ac:dyDescent="0.35">
      <c r="A50" s="9" t="s">
        <v>117</v>
      </c>
      <c r="B50" s="10">
        <v>46067</v>
      </c>
      <c r="C50" s="9" t="str">
        <f t="shared" si="0"/>
        <v>Feb</v>
      </c>
      <c r="D50" s="9" t="s">
        <v>36</v>
      </c>
      <c r="E50" s="9" t="s">
        <v>20</v>
      </c>
      <c r="F50" s="9" t="s">
        <v>21</v>
      </c>
      <c r="G50" s="9" t="s">
        <v>85</v>
      </c>
      <c r="H50" s="9">
        <v>2</v>
      </c>
      <c r="I50" s="11">
        <v>1299</v>
      </c>
      <c r="J50" s="11">
        <v>963</v>
      </c>
      <c r="K50" s="11">
        <f t="shared" si="1"/>
        <v>2598</v>
      </c>
      <c r="L50" s="11">
        <f t="shared" si="2"/>
        <v>1926</v>
      </c>
      <c r="M50" s="11">
        <f t="shared" si="3"/>
        <v>672</v>
      </c>
    </row>
    <row r="51" spans="1:13" x14ac:dyDescent="0.35">
      <c r="A51" s="9" t="s">
        <v>118</v>
      </c>
      <c r="B51" s="10">
        <v>46067</v>
      </c>
      <c r="C51" s="9" t="str">
        <f t="shared" si="0"/>
        <v>Feb</v>
      </c>
      <c r="D51" s="9" t="s">
        <v>36</v>
      </c>
      <c r="E51" s="9" t="s">
        <v>29</v>
      </c>
      <c r="F51" s="9" t="s">
        <v>30</v>
      </c>
      <c r="G51" s="9" t="s">
        <v>119</v>
      </c>
      <c r="H51" s="9">
        <v>1</v>
      </c>
      <c r="I51" s="11">
        <v>1499</v>
      </c>
      <c r="J51" s="11">
        <v>898</v>
      </c>
      <c r="K51" s="11">
        <f t="shared" si="1"/>
        <v>1499</v>
      </c>
      <c r="L51" s="11">
        <f t="shared" si="2"/>
        <v>898</v>
      </c>
      <c r="M51" s="11">
        <f t="shared" si="3"/>
        <v>601</v>
      </c>
    </row>
    <row r="52" spans="1:13" x14ac:dyDescent="0.35">
      <c r="A52" s="9" t="s">
        <v>120</v>
      </c>
      <c r="B52" s="10">
        <v>46069</v>
      </c>
      <c r="C52" s="9" t="str">
        <f t="shared" si="0"/>
        <v>Feb</v>
      </c>
      <c r="D52" s="9" t="s">
        <v>24</v>
      </c>
      <c r="E52" s="9" t="s">
        <v>29</v>
      </c>
      <c r="F52" s="9" t="s">
        <v>54</v>
      </c>
      <c r="G52" s="9" t="s">
        <v>121</v>
      </c>
      <c r="H52" s="9">
        <v>1</v>
      </c>
      <c r="I52" s="11">
        <v>3499</v>
      </c>
      <c r="J52" s="11">
        <v>1985</v>
      </c>
      <c r="K52" s="11">
        <f t="shared" si="1"/>
        <v>3499</v>
      </c>
      <c r="L52" s="11">
        <f t="shared" si="2"/>
        <v>1985</v>
      </c>
      <c r="M52" s="11">
        <f t="shared" si="3"/>
        <v>1514</v>
      </c>
    </row>
    <row r="53" spans="1:13" x14ac:dyDescent="0.35">
      <c r="A53" s="9" t="s">
        <v>122</v>
      </c>
      <c r="B53" s="10">
        <v>46069</v>
      </c>
      <c r="C53" s="9" t="str">
        <f t="shared" si="0"/>
        <v>Feb</v>
      </c>
      <c r="D53" s="9" t="s">
        <v>19</v>
      </c>
      <c r="E53" s="9" t="s">
        <v>40</v>
      </c>
      <c r="F53" s="9" t="s">
        <v>41</v>
      </c>
      <c r="G53" s="9" t="s">
        <v>123</v>
      </c>
      <c r="H53" s="9">
        <v>1</v>
      </c>
      <c r="I53" s="11">
        <v>3499</v>
      </c>
      <c r="J53" s="11">
        <v>2346</v>
      </c>
      <c r="K53" s="11">
        <f t="shared" si="1"/>
        <v>3499</v>
      </c>
      <c r="L53" s="11">
        <f t="shared" si="2"/>
        <v>2346</v>
      </c>
      <c r="M53" s="11">
        <f t="shared" si="3"/>
        <v>1153</v>
      </c>
    </row>
    <row r="54" spans="1:13" x14ac:dyDescent="0.35">
      <c r="A54" s="9" t="s">
        <v>124</v>
      </c>
      <c r="B54" s="10">
        <v>46069</v>
      </c>
      <c r="C54" s="9" t="str">
        <f t="shared" si="0"/>
        <v>Feb</v>
      </c>
      <c r="D54" s="9" t="s">
        <v>19</v>
      </c>
      <c r="E54" s="9" t="s">
        <v>25</v>
      </c>
      <c r="F54" s="9" t="s">
        <v>37</v>
      </c>
      <c r="G54" s="9" t="s">
        <v>125</v>
      </c>
      <c r="H54" s="9">
        <v>1</v>
      </c>
      <c r="I54" s="11">
        <v>499</v>
      </c>
      <c r="J54" s="11">
        <v>350</v>
      </c>
      <c r="K54" s="11">
        <f t="shared" si="1"/>
        <v>499</v>
      </c>
      <c r="L54" s="11">
        <f t="shared" si="2"/>
        <v>350</v>
      </c>
      <c r="M54" s="11">
        <f t="shared" si="3"/>
        <v>149</v>
      </c>
    </row>
    <row r="55" spans="1:13" x14ac:dyDescent="0.35">
      <c r="A55" s="9" t="s">
        <v>126</v>
      </c>
      <c r="B55" s="10">
        <v>46070</v>
      </c>
      <c r="C55" s="9" t="str">
        <f t="shared" si="0"/>
        <v>Feb</v>
      </c>
      <c r="D55" s="9" t="s">
        <v>19</v>
      </c>
      <c r="E55" s="9" t="s">
        <v>46</v>
      </c>
      <c r="F55" s="9" t="s">
        <v>65</v>
      </c>
      <c r="G55" s="9" t="s">
        <v>85</v>
      </c>
      <c r="H55" s="9">
        <v>1</v>
      </c>
      <c r="I55" s="11">
        <v>3499</v>
      </c>
      <c r="J55" s="11">
        <v>2064</v>
      </c>
      <c r="K55" s="11">
        <f t="shared" si="1"/>
        <v>3499</v>
      </c>
      <c r="L55" s="11">
        <f t="shared" si="2"/>
        <v>2064</v>
      </c>
      <c r="M55" s="11">
        <f t="shared" si="3"/>
        <v>1435</v>
      </c>
    </row>
    <row r="56" spans="1:13" x14ac:dyDescent="0.35">
      <c r="A56" s="9" t="s">
        <v>127</v>
      </c>
      <c r="B56" s="10">
        <v>46070</v>
      </c>
      <c r="C56" s="9" t="str">
        <f t="shared" si="0"/>
        <v>Feb</v>
      </c>
      <c r="D56" s="9" t="s">
        <v>24</v>
      </c>
      <c r="E56" s="9" t="s">
        <v>46</v>
      </c>
      <c r="F56" s="9" t="s">
        <v>65</v>
      </c>
      <c r="G56" s="9" t="s">
        <v>85</v>
      </c>
      <c r="H56" s="9">
        <v>2</v>
      </c>
      <c r="I56" s="11">
        <v>3499</v>
      </c>
      <c r="J56" s="11">
        <v>2064</v>
      </c>
      <c r="K56" s="11">
        <f t="shared" si="1"/>
        <v>6998</v>
      </c>
      <c r="L56" s="11">
        <f t="shared" si="2"/>
        <v>4128</v>
      </c>
      <c r="M56" s="11">
        <f t="shared" si="3"/>
        <v>2870</v>
      </c>
    </row>
    <row r="57" spans="1:13" x14ac:dyDescent="0.35">
      <c r="A57" s="9" t="s">
        <v>128</v>
      </c>
      <c r="B57" s="10">
        <v>46071</v>
      </c>
      <c r="C57" s="9" t="str">
        <f t="shared" si="0"/>
        <v>Feb</v>
      </c>
      <c r="D57" s="9" t="s">
        <v>19</v>
      </c>
      <c r="E57" s="9" t="s">
        <v>29</v>
      </c>
      <c r="F57" s="9" t="s">
        <v>58</v>
      </c>
      <c r="G57" s="9" t="s">
        <v>85</v>
      </c>
      <c r="H57" s="9">
        <v>1</v>
      </c>
      <c r="I57" s="11">
        <v>999</v>
      </c>
      <c r="J57" s="11">
        <v>697</v>
      </c>
      <c r="K57" s="11">
        <f t="shared" si="1"/>
        <v>999</v>
      </c>
      <c r="L57" s="11">
        <f t="shared" si="2"/>
        <v>697</v>
      </c>
      <c r="M57" s="11">
        <f t="shared" si="3"/>
        <v>302</v>
      </c>
    </row>
    <row r="58" spans="1:13" x14ac:dyDescent="0.35">
      <c r="A58" s="9" t="s">
        <v>129</v>
      </c>
      <c r="B58" s="10">
        <v>46071</v>
      </c>
      <c r="C58" s="9" t="str">
        <f t="shared" si="0"/>
        <v>Feb</v>
      </c>
      <c r="D58" s="9" t="s">
        <v>19</v>
      </c>
      <c r="E58" s="9" t="s">
        <v>40</v>
      </c>
      <c r="F58" s="9" t="s">
        <v>43</v>
      </c>
      <c r="G58" s="9" t="s">
        <v>130</v>
      </c>
      <c r="H58" s="9">
        <v>2</v>
      </c>
      <c r="I58" s="11">
        <v>799</v>
      </c>
      <c r="J58" s="11">
        <v>474</v>
      </c>
      <c r="K58" s="11">
        <f t="shared" si="1"/>
        <v>1598</v>
      </c>
      <c r="L58" s="11">
        <f t="shared" si="2"/>
        <v>948</v>
      </c>
      <c r="M58" s="11">
        <f t="shared" si="3"/>
        <v>650</v>
      </c>
    </row>
    <row r="59" spans="1:13" x14ac:dyDescent="0.35">
      <c r="A59" s="9" t="s">
        <v>131</v>
      </c>
      <c r="B59" s="10">
        <v>46072</v>
      </c>
      <c r="C59" s="9" t="str">
        <f t="shared" si="0"/>
        <v>Feb</v>
      </c>
      <c r="D59" s="9" t="s">
        <v>24</v>
      </c>
      <c r="E59" s="9" t="s">
        <v>46</v>
      </c>
      <c r="F59" s="9" t="s">
        <v>47</v>
      </c>
      <c r="G59" s="9" t="s">
        <v>132</v>
      </c>
      <c r="H59" s="9">
        <v>2</v>
      </c>
      <c r="I59" s="11">
        <v>2999</v>
      </c>
      <c r="J59" s="11">
        <v>2003</v>
      </c>
      <c r="K59" s="11">
        <f t="shared" si="1"/>
        <v>5998</v>
      </c>
      <c r="L59" s="11">
        <f t="shared" si="2"/>
        <v>4006</v>
      </c>
      <c r="M59" s="11">
        <f t="shared" si="3"/>
        <v>1992</v>
      </c>
    </row>
    <row r="60" spans="1:13" x14ac:dyDescent="0.35">
      <c r="A60" s="9" t="s">
        <v>133</v>
      </c>
      <c r="B60" s="10">
        <v>46072</v>
      </c>
      <c r="C60" s="9" t="str">
        <f t="shared" si="0"/>
        <v>Feb</v>
      </c>
      <c r="D60" s="9" t="s">
        <v>24</v>
      </c>
      <c r="E60" s="9" t="s">
        <v>40</v>
      </c>
      <c r="F60" s="9" t="s">
        <v>113</v>
      </c>
      <c r="G60" s="9" t="s">
        <v>59</v>
      </c>
      <c r="H60" s="9">
        <v>1</v>
      </c>
      <c r="I60" s="11">
        <v>2499</v>
      </c>
      <c r="J60" s="11">
        <v>1390</v>
      </c>
      <c r="K60" s="11">
        <f t="shared" si="1"/>
        <v>2499</v>
      </c>
      <c r="L60" s="11">
        <f t="shared" si="2"/>
        <v>1390</v>
      </c>
      <c r="M60" s="11">
        <f t="shared" si="3"/>
        <v>1109</v>
      </c>
    </row>
    <row r="61" spans="1:13" x14ac:dyDescent="0.35">
      <c r="A61" s="9" t="s">
        <v>134</v>
      </c>
      <c r="B61" s="10">
        <v>46076</v>
      </c>
      <c r="C61" s="9" t="str">
        <f t="shared" si="0"/>
        <v>Feb</v>
      </c>
      <c r="D61" s="9" t="s">
        <v>36</v>
      </c>
      <c r="E61" s="9" t="s">
        <v>40</v>
      </c>
      <c r="F61" s="9" t="s">
        <v>113</v>
      </c>
      <c r="G61" s="9" t="s">
        <v>92</v>
      </c>
      <c r="H61" s="9">
        <v>1</v>
      </c>
      <c r="I61" s="11">
        <v>2499</v>
      </c>
      <c r="J61" s="11">
        <v>1390</v>
      </c>
      <c r="K61" s="11">
        <f t="shared" si="1"/>
        <v>2499</v>
      </c>
      <c r="L61" s="11">
        <f t="shared" si="2"/>
        <v>1390</v>
      </c>
      <c r="M61" s="11">
        <f t="shared" si="3"/>
        <v>1109</v>
      </c>
    </row>
    <row r="62" spans="1:13" x14ac:dyDescent="0.35">
      <c r="A62" s="9" t="s">
        <v>135</v>
      </c>
      <c r="B62" s="10">
        <v>46076</v>
      </c>
      <c r="C62" s="9" t="str">
        <f t="shared" si="0"/>
        <v>Feb</v>
      </c>
      <c r="D62" s="9" t="s">
        <v>19</v>
      </c>
      <c r="E62" s="9" t="s">
        <v>25</v>
      </c>
      <c r="F62" s="9" t="s">
        <v>37</v>
      </c>
      <c r="G62" s="9" t="s">
        <v>76</v>
      </c>
      <c r="H62" s="9">
        <v>2</v>
      </c>
      <c r="I62" s="11">
        <v>499</v>
      </c>
      <c r="J62" s="11">
        <v>350</v>
      </c>
      <c r="K62" s="11">
        <f t="shared" si="1"/>
        <v>998</v>
      </c>
      <c r="L62" s="11">
        <f t="shared" si="2"/>
        <v>700</v>
      </c>
      <c r="M62" s="11">
        <f t="shared" si="3"/>
        <v>298</v>
      </c>
    </row>
    <row r="63" spans="1:13" x14ac:dyDescent="0.35">
      <c r="A63" s="9" t="s">
        <v>136</v>
      </c>
      <c r="B63" s="10">
        <v>46077</v>
      </c>
      <c r="C63" s="9" t="str">
        <f t="shared" si="0"/>
        <v>Feb</v>
      </c>
      <c r="D63" s="9" t="s">
        <v>68</v>
      </c>
      <c r="E63" s="9" t="s">
        <v>29</v>
      </c>
      <c r="F63" s="9" t="s">
        <v>30</v>
      </c>
      <c r="G63" s="9" t="s">
        <v>137</v>
      </c>
      <c r="H63" s="9">
        <v>1</v>
      </c>
      <c r="I63" s="11">
        <v>1499</v>
      </c>
      <c r="J63" s="11">
        <v>898</v>
      </c>
      <c r="K63" s="11">
        <f t="shared" si="1"/>
        <v>1499</v>
      </c>
      <c r="L63" s="11">
        <f t="shared" si="2"/>
        <v>898</v>
      </c>
      <c r="M63" s="11">
        <f t="shared" si="3"/>
        <v>601</v>
      </c>
    </row>
    <row r="64" spans="1:13" x14ac:dyDescent="0.35">
      <c r="A64" s="9" t="s">
        <v>138</v>
      </c>
      <c r="B64" s="10">
        <v>46079</v>
      </c>
      <c r="C64" s="9" t="str">
        <f t="shared" si="0"/>
        <v>Feb</v>
      </c>
      <c r="D64" s="9" t="s">
        <v>68</v>
      </c>
      <c r="E64" s="9" t="s">
        <v>29</v>
      </c>
      <c r="F64" s="9" t="s">
        <v>58</v>
      </c>
      <c r="G64" s="9" t="s">
        <v>70</v>
      </c>
      <c r="H64" s="9">
        <v>3</v>
      </c>
      <c r="I64" s="11">
        <v>999</v>
      </c>
      <c r="J64" s="11">
        <v>697</v>
      </c>
      <c r="K64" s="11">
        <f t="shared" si="1"/>
        <v>2997</v>
      </c>
      <c r="L64" s="11">
        <f t="shared" si="2"/>
        <v>2091</v>
      </c>
      <c r="M64" s="11">
        <f t="shared" si="3"/>
        <v>906</v>
      </c>
    </row>
    <row r="65" spans="1:13" x14ac:dyDescent="0.35">
      <c r="A65" s="9" t="s">
        <v>139</v>
      </c>
      <c r="B65" s="10">
        <v>46079</v>
      </c>
      <c r="C65" s="9" t="str">
        <f t="shared" si="0"/>
        <v>Feb</v>
      </c>
      <c r="D65" s="9" t="s">
        <v>24</v>
      </c>
      <c r="E65" s="9" t="s">
        <v>40</v>
      </c>
      <c r="F65" s="9" t="s">
        <v>41</v>
      </c>
      <c r="G65" s="9" t="s">
        <v>140</v>
      </c>
      <c r="H65" s="9">
        <v>1</v>
      </c>
      <c r="I65" s="11">
        <v>3499</v>
      </c>
      <c r="J65" s="11">
        <v>2346</v>
      </c>
      <c r="K65" s="11">
        <f t="shared" si="1"/>
        <v>3499</v>
      </c>
      <c r="L65" s="11">
        <f t="shared" si="2"/>
        <v>2346</v>
      </c>
      <c r="M65" s="11">
        <f t="shared" si="3"/>
        <v>1153</v>
      </c>
    </row>
    <row r="66" spans="1:13" x14ac:dyDescent="0.35">
      <c r="A66" s="9" t="s">
        <v>141</v>
      </c>
      <c r="B66" s="10">
        <v>46080</v>
      </c>
      <c r="C66" s="9" t="str">
        <f t="shared" ref="C66:C129" si="4">TEXT(B66,"mmm")</f>
        <v>Feb</v>
      </c>
      <c r="D66" s="9" t="s">
        <v>24</v>
      </c>
      <c r="E66" s="9" t="s">
        <v>46</v>
      </c>
      <c r="F66" s="9" t="s">
        <v>51</v>
      </c>
      <c r="G66" s="9" t="s">
        <v>142</v>
      </c>
      <c r="H66" s="9">
        <v>2</v>
      </c>
      <c r="I66" s="11">
        <v>3499</v>
      </c>
      <c r="J66" s="11">
        <v>2218</v>
      </c>
      <c r="K66" s="11">
        <f t="shared" ref="K66:K129" si="5">H66*I66</f>
        <v>6998</v>
      </c>
      <c r="L66" s="11">
        <f t="shared" ref="L66:L129" si="6">H66*J66</f>
        <v>4436</v>
      </c>
      <c r="M66" s="11">
        <f t="shared" ref="M66:M129" si="7">K66-L66</f>
        <v>2562</v>
      </c>
    </row>
    <row r="67" spans="1:13" x14ac:dyDescent="0.35">
      <c r="A67" s="9" t="s">
        <v>143</v>
      </c>
      <c r="B67" s="10">
        <v>46081</v>
      </c>
      <c r="C67" s="9" t="str">
        <f t="shared" si="4"/>
        <v>Feb</v>
      </c>
      <c r="D67" s="9" t="s">
        <v>24</v>
      </c>
      <c r="E67" s="9" t="s">
        <v>29</v>
      </c>
      <c r="F67" s="9" t="s">
        <v>58</v>
      </c>
      <c r="G67" s="9" t="s">
        <v>83</v>
      </c>
      <c r="H67" s="9">
        <v>1</v>
      </c>
      <c r="I67" s="11">
        <v>999</v>
      </c>
      <c r="J67" s="11">
        <v>697</v>
      </c>
      <c r="K67" s="11">
        <f t="shared" si="5"/>
        <v>999</v>
      </c>
      <c r="L67" s="11">
        <f t="shared" si="6"/>
        <v>697</v>
      </c>
      <c r="M67" s="11">
        <f t="shared" si="7"/>
        <v>302</v>
      </c>
    </row>
    <row r="68" spans="1:13" x14ac:dyDescent="0.35">
      <c r="A68" s="9" t="s">
        <v>144</v>
      </c>
      <c r="B68" s="10">
        <v>46081</v>
      </c>
      <c r="C68" s="9" t="str">
        <f t="shared" si="4"/>
        <v>Feb</v>
      </c>
      <c r="D68" s="9" t="s">
        <v>24</v>
      </c>
      <c r="E68" s="9" t="s">
        <v>20</v>
      </c>
      <c r="F68" s="9" t="s">
        <v>33</v>
      </c>
      <c r="G68" s="9" t="s">
        <v>101</v>
      </c>
      <c r="H68" s="9">
        <v>1</v>
      </c>
      <c r="I68" s="11">
        <v>1999</v>
      </c>
      <c r="J68" s="11">
        <v>1140</v>
      </c>
      <c r="K68" s="11">
        <f t="shared" si="5"/>
        <v>1999</v>
      </c>
      <c r="L68" s="11">
        <f t="shared" si="6"/>
        <v>1140</v>
      </c>
      <c r="M68" s="11">
        <f t="shared" si="7"/>
        <v>859</v>
      </c>
    </row>
    <row r="69" spans="1:13" x14ac:dyDescent="0.35">
      <c r="A69" s="9" t="s">
        <v>145</v>
      </c>
      <c r="B69" s="10">
        <v>46083</v>
      </c>
      <c r="C69" s="9" t="str">
        <f t="shared" si="4"/>
        <v>Mar</v>
      </c>
      <c r="D69" s="9" t="s">
        <v>68</v>
      </c>
      <c r="E69" s="9" t="s">
        <v>40</v>
      </c>
      <c r="F69" s="9" t="s">
        <v>43</v>
      </c>
      <c r="G69" s="9" t="s">
        <v>121</v>
      </c>
      <c r="H69" s="9">
        <v>3</v>
      </c>
      <c r="I69" s="11">
        <v>799</v>
      </c>
      <c r="J69" s="11">
        <v>474</v>
      </c>
      <c r="K69" s="11">
        <f t="shared" si="5"/>
        <v>2397</v>
      </c>
      <c r="L69" s="11">
        <f t="shared" si="6"/>
        <v>1422</v>
      </c>
      <c r="M69" s="11">
        <f t="shared" si="7"/>
        <v>975</v>
      </c>
    </row>
    <row r="70" spans="1:13" x14ac:dyDescent="0.35">
      <c r="A70" s="9" t="s">
        <v>146</v>
      </c>
      <c r="B70" s="10">
        <v>46084</v>
      </c>
      <c r="C70" s="9" t="str">
        <f t="shared" si="4"/>
        <v>Mar</v>
      </c>
      <c r="D70" s="9" t="s">
        <v>36</v>
      </c>
      <c r="E70" s="9" t="s">
        <v>20</v>
      </c>
      <c r="F70" s="9" t="s">
        <v>21</v>
      </c>
      <c r="G70" s="9" t="s">
        <v>147</v>
      </c>
      <c r="H70" s="9">
        <v>2</v>
      </c>
      <c r="I70" s="11">
        <v>1299</v>
      </c>
      <c r="J70" s="11">
        <v>963</v>
      </c>
      <c r="K70" s="11">
        <f t="shared" si="5"/>
        <v>2598</v>
      </c>
      <c r="L70" s="11">
        <f t="shared" si="6"/>
        <v>1926</v>
      </c>
      <c r="M70" s="11">
        <f t="shared" si="7"/>
        <v>672</v>
      </c>
    </row>
    <row r="71" spans="1:13" x14ac:dyDescent="0.35">
      <c r="A71" s="9" t="s">
        <v>148</v>
      </c>
      <c r="B71" s="10">
        <v>46086</v>
      </c>
      <c r="C71" s="9" t="str">
        <f t="shared" si="4"/>
        <v>Mar</v>
      </c>
      <c r="D71" s="9" t="s">
        <v>68</v>
      </c>
      <c r="E71" s="9" t="s">
        <v>25</v>
      </c>
      <c r="F71" s="9" t="s">
        <v>26</v>
      </c>
      <c r="G71" s="9" t="s">
        <v>132</v>
      </c>
      <c r="H71" s="9">
        <v>3</v>
      </c>
      <c r="I71" s="11">
        <v>1999</v>
      </c>
      <c r="J71" s="11">
        <v>1211</v>
      </c>
      <c r="K71" s="11">
        <f t="shared" si="5"/>
        <v>5997</v>
      </c>
      <c r="L71" s="11">
        <f t="shared" si="6"/>
        <v>3633</v>
      </c>
      <c r="M71" s="11">
        <f t="shared" si="7"/>
        <v>2364</v>
      </c>
    </row>
    <row r="72" spans="1:13" x14ac:dyDescent="0.35">
      <c r="A72" s="9" t="s">
        <v>149</v>
      </c>
      <c r="B72" s="10">
        <v>46086</v>
      </c>
      <c r="C72" s="9" t="str">
        <f t="shared" si="4"/>
        <v>Mar</v>
      </c>
      <c r="D72" s="9" t="s">
        <v>36</v>
      </c>
      <c r="E72" s="9" t="s">
        <v>25</v>
      </c>
      <c r="F72" s="9" t="s">
        <v>26</v>
      </c>
      <c r="G72" s="9" t="s">
        <v>137</v>
      </c>
      <c r="H72" s="9">
        <v>1</v>
      </c>
      <c r="I72" s="11">
        <v>1999</v>
      </c>
      <c r="J72" s="11">
        <v>1211</v>
      </c>
      <c r="K72" s="11">
        <f t="shared" si="5"/>
        <v>1999</v>
      </c>
      <c r="L72" s="11">
        <f t="shared" si="6"/>
        <v>1211</v>
      </c>
      <c r="M72" s="11">
        <f t="shared" si="7"/>
        <v>788</v>
      </c>
    </row>
    <row r="73" spans="1:13" x14ac:dyDescent="0.35">
      <c r="A73" s="9" t="s">
        <v>150</v>
      </c>
      <c r="B73" s="10">
        <v>46087</v>
      </c>
      <c r="C73" s="9" t="str">
        <f t="shared" si="4"/>
        <v>Mar</v>
      </c>
      <c r="D73" s="9" t="s">
        <v>24</v>
      </c>
      <c r="E73" s="9" t="s">
        <v>40</v>
      </c>
      <c r="F73" s="9" t="s">
        <v>41</v>
      </c>
      <c r="G73" s="9" t="s">
        <v>99</v>
      </c>
      <c r="H73" s="9">
        <v>1</v>
      </c>
      <c r="I73" s="11">
        <v>3499</v>
      </c>
      <c r="J73" s="11">
        <v>2346</v>
      </c>
      <c r="K73" s="11">
        <f t="shared" si="5"/>
        <v>3499</v>
      </c>
      <c r="L73" s="11">
        <f t="shared" si="6"/>
        <v>2346</v>
      </c>
      <c r="M73" s="11">
        <f t="shared" si="7"/>
        <v>1153</v>
      </c>
    </row>
    <row r="74" spans="1:13" x14ac:dyDescent="0.35">
      <c r="A74" s="9" t="s">
        <v>151</v>
      </c>
      <c r="B74" s="10">
        <v>46088</v>
      </c>
      <c r="C74" s="9" t="str">
        <f t="shared" si="4"/>
        <v>Mar</v>
      </c>
      <c r="D74" s="9" t="s">
        <v>19</v>
      </c>
      <c r="E74" s="9" t="s">
        <v>40</v>
      </c>
      <c r="F74" s="9" t="s">
        <v>43</v>
      </c>
      <c r="G74" s="9" t="s">
        <v>152</v>
      </c>
      <c r="H74" s="9">
        <v>1</v>
      </c>
      <c r="I74" s="11">
        <v>799</v>
      </c>
      <c r="J74" s="11">
        <v>474</v>
      </c>
      <c r="K74" s="11">
        <f t="shared" si="5"/>
        <v>799</v>
      </c>
      <c r="L74" s="11">
        <f t="shared" si="6"/>
        <v>474</v>
      </c>
      <c r="M74" s="11">
        <f t="shared" si="7"/>
        <v>325</v>
      </c>
    </row>
    <row r="75" spans="1:13" x14ac:dyDescent="0.35">
      <c r="A75" s="9" t="s">
        <v>153</v>
      </c>
      <c r="B75" s="10">
        <v>46088</v>
      </c>
      <c r="C75" s="9" t="str">
        <f t="shared" si="4"/>
        <v>Mar</v>
      </c>
      <c r="D75" s="9" t="s">
        <v>36</v>
      </c>
      <c r="E75" s="9" t="s">
        <v>29</v>
      </c>
      <c r="F75" s="9" t="s">
        <v>75</v>
      </c>
      <c r="G75" s="9" t="s">
        <v>119</v>
      </c>
      <c r="H75" s="9">
        <v>1</v>
      </c>
      <c r="I75" s="11">
        <v>799</v>
      </c>
      <c r="J75" s="11">
        <v>443</v>
      </c>
      <c r="K75" s="11">
        <f t="shared" si="5"/>
        <v>799</v>
      </c>
      <c r="L75" s="11">
        <f t="shared" si="6"/>
        <v>443</v>
      </c>
      <c r="M75" s="11">
        <f t="shared" si="7"/>
        <v>356</v>
      </c>
    </row>
    <row r="76" spans="1:13" x14ac:dyDescent="0.35">
      <c r="A76" s="9" t="s">
        <v>154</v>
      </c>
      <c r="B76" s="10">
        <v>46090</v>
      </c>
      <c r="C76" s="9" t="str">
        <f t="shared" si="4"/>
        <v>Mar</v>
      </c>
      <c r="D76" s="9" t="s">
        <v>19</v>
      </c>
      <c r="E76" s="9" t="s">
        <v>25</v>
      </c>
      <c r="F76" s="9" t="s">
        <v>26</v>
      </c>
      <c r="G76" s="9" t="s">
        <v>101</v>
      </c>
      <c r="H76" s="9">
        <v>3</v>
      </c>
      <c r="I76" s="11">
        <v>1999</v>
      </c>
      <c r="J76" s="11">
        <v>1211</v>
      </c>
      <c r="K76" s="11">
        <f t="shared" si="5"/>
        <v>5997</v>
      </c>
      <c r="L76" s="11">
        <f t="shared" si="6"/>
        <v>3633</v>
      </c>
      <c r="M76" s="11">
        <f t="shared" si="7"/>
        <v>2364</v>
      </c>
    </row>
    <row r="77" spans="1:13" x14ac:dyDescent="0.35">
      <c r="A77" s="9" t="s">
        <v>155</v>
      </c>
      <c r="B77" s="10">
        <v>46091</v>
      </c>
      <c r="C77" s="9" t="str">
        <f t="shared" si="4"/>
        <v>Mar</v>
      </c>
      <c r="D77" s="9" t="s">
        <v>24</v>
      </c>
      <c r="E77" s="9" t="s">
        <v>40</v>
      </c>
      <c r="F77" s="9" t="s">
        <v>43</v>
      </c>
      <c r="G77" s="9" t="s">
        <v>140</v>
      </c>
      <c r="H77" s="9">
        <v>1</v>
      </c>
      <c r="I77" s="11">
        <v>799</v>
      </c>
      <c r="J77" s="11">
        <v>474</v>
      </c>
      <c r="K77" s="11">
        <f t="shared" si="5"/>
        <v>799</v>
      </c>
      <c r="L77" s="11">
        <f t="shared" si="6"/>
        <v>474</v>
      </c>
      <c r="M77" s="11">
        <f t="shared" si="7"/>
        <v>325</v>
      </c>
    </row>
    <row r="78" spans="1:13" x14ac:dyDescent="0.35">
      <c r="A78" s="9" t="s">
        <v>156</v>
      </c>
      <c r="B78" s="10">
        <v>46091</v>
      </c>
      <c r="C78" s="9" t="str">
        <f t="shared" si="4"/>
        <v>Mar</v>
      </c>
      <c r="D78" s="9" t="s">
        <v>19</v>
      </c>
      <c r="E78" s="9" t="s">
        <v>29</v>
      </c>
      <c r="F78" s="9" t="s">
        <v>58</v>
      </c>
      <c r="G78" s="9" t="s">
        <v>96</v>
      </c>
      <c r="H78" s="9">
        <v>1</v>
      </c>
      <c r="I78" s="11">
        <v>999</v>
      </c>
      <c r="J78" s="11">
        <v>697</v>
      </c>
      <c r="K78" s="11">
        <f t="shared" si="5"/>
        <v>999</v>
      </c>
      <c r="L78" s="11">
        <f t="shared" si="6"/>
        <v>697</v>
      </c>
      <c r="M78" s="11">
        <f t="shared" si="7"/>
        <v>302</v>
      </c>
    </row>
    <row r="79" spans="1:13" x14ac:dyDescent="0.35">
      <c r="A79" s="9" t="s">
        <v>157</v>
      </c>
      <c r="B79" s="10">
        <v>46091</v>
      </c>
      <c r="C79" s="9" t="str">
        <f t="shared" si="4"/>
        <v>Mar</v>
      </c>
      <c r="D79" s="9" t="s">
        <v>68</v>
      </c>
      <c r="E79" s="9" t="s">
        <v>46</v>
      </c>
      <c r="F79" s="9" t="s">
        <v>47</v>
      </c>
      <c r="G79" s="9" t="s">
        <v>101</v>
      </c>
      <c r="H79" s="9">
        <v>3</v>
      </c>
      <c r="I79" s="11">
        <v>2999</v>
      </c>
      <c r="J79" s="11">
        <v>2003</v>
      </c>
      <c r="K79" s="11">
        <f t="shared" si="5"/>
        <v>8997</v>
      </c>
      <c r="L79" s="11">
        <f t="shared" si="6"/>
        <v>6009</v>
      </c>
      <c r="M79" s="11">
        <f t="shared" si="7"/>
        <v>2988</v>
      </c>
    </row>
    <row r="80" spans="1:13" x14ac:dyDescent="0.35">
      <c r="A80" s="9" t="s">
        <v>158</v>
      </c>
      <c r="B80" s="10">
        <v>46092</v>
      </c>
      <c r="C80" s="9" t="str">
        <f t="shared" si="4"/>
        <v>Mar</v>
      </c>
      <c r="D80" s="9" t="s">
        <v>24</v>
      </c>
      <c r="E80" s="9" t="s">
        <v>46</v>
      </c>
      <c r="F80" s="9" t="s">
        <v>47</v>
      </c>
      <c r="G80" s="9" t="s">
        <v>159</v>
      </c>
      <c r="H80" s="9">
        <v>2</v>
      </c>
      <c r="I80" s="11">
        <v>2999</v>
      </c>
      <c r="J80" s="11">
        <v>2003</v>
      </c>
      <c r="K80" s="11">
        <f t="shared" si="5"/>
        <v>5998</v>
      </c>
      <c r="L80" s="11">
        <f t="shared" si="6"/>
        <v>4006</v>
      </c>
      <c r="M80" s="11">
        <f t="shared" si="7"/>
        <v>1992</v>
      </c>
    </row>
    <row r="81" spans="1:13" x14ac:dyDescent="0.35">
      <c r="A81" s="9" t="s">
        <v>160</v>
      </c>
      <c r="B81" s="10">
        <v>46092</v>
      </c>
      <c r="C81" s="9" t="str">
        <f t="shared" si="4"/>
        <v>Mar</v>
      </c>
      <c r="D81" s="9" t="s">
        <v>19</v>
      </c>
      <c r="E81" s="9" t="s">
        <v>29</v>
      </c>
      <c r="F81" s="9" t="s">
        <v>54</v>
      </c>
      <c r="G81" s="9" t="s">
        <v>96</v>
      </c>
      <c r="H81" s="9">
        <v>3</v>
      </c>
      <c r="I81" s="11">
        <v>3499</v>
      </c>
      <c r="J81" s="11">
        <v>1985</v>
      </c>
      <c r="K81" s="11">
        <f t="shared" si="5"/>
        <v>10497</v>
      </c>
      <c r="L81" s="11">
        <f t="shared" si="6"/>
        <v>5955</v>
      </c>
      <c r="M81" s="11">
        <f t="shared" si="7"/>
        <v>4542</v>
      </c>
    </row>
    <row r="82" spans="1:13" x14ac:dyDescent="0.35">
      <c r="A82" s="9" t="s">
        <v>161</v>
      </c>
      <c r="B82" s="10">
        <v>46093</v>
      </c>
      <c r="C82" s="9" t="str">
        <f t="shared" si="4"/>
        <v>Mar</v>
      </c>
      <c r="D82" s="9" t="s">
        <v>36</v>
      </c>
      <c r="E82" s="9" t="s">
        <v>20</v>
      </c>
      <c r="F82" s="9" t="s">
        <v>33</v>
      </c>
      <c r="G82" s="9" t="s">
        <v>142</v>
      </c>
      <c r="H82" s="9">
        <v>2</v>
      </c>
      <c r="I82" s="11">
        <v>1999</v>
      </c>
      <c r="J82" s="11">
        <v>1140</v>
      </c>
      <c r="K82" s="11">
        <f t="shared" si="5"/>
        <v>3998</v>
      </c>
      <c r="L82" s="11">
        <f t="shared" si="6"/>
        <v>2280</v>
      </c>
      <c r="M82" s="11">
        <f t="shared" si="7"/>
        <v>1718</v>
      </c>
    </row>
    <row r="83" spans="1:13" x14ac:dyDescent="0.35">
      <c r="A83" s="9" t="s">
        <v>162</v>
      </c>
      <c r="B83" s="10">
        <v>46093</v>
      </c>
      <c r="C83" s="9" t="str">
        <f t="shared" si="4"/>
        <v>Mar</v>
      </c>
      <c r="D83" s="9" t="s">
        <v>19</v>
      </c>
      <c r="E83" s="9" t="s">
        <v>29</v>
      </c>
      <c r="F83" s="9" t="s">
        <v>30</v>
      </c>
      <c r="G83" s="9" t="s">
        <v>121</v>
      </c>
      <c r="H83" s="9">
        <v>1</v>
      </c>
      <c r="I83" s="11">
        <v>1499</v>
      </c>
      <c r="J83" s="11">
        <v>898</v>
      </c>
      <c r="K83" s="11">
        <f t="shared" si="5"/>
        <v>1499</v>
      </c>
      <c r="L83" s="11">
        <f t="shared" si="6"/>
        <v>898</v>
      </c>
      <c r="M83" s="11">
        <f t="shared" si="7"/>
        <v>601</v>
      </c>
    </row>
    <row r="84" spans="1:13" x14ac:dyDescent="0.35">
      <c r="A84" s="9" t="s">
        <v>163</v>
      </c>
      <c r="B84" s="10">
        <v>46093</v>
      </c>
      <c r="C84" s="9" t="str">
        <f t="shared" si="4"/>
        <v>Mar</v>
      </c>
      <c r="D84" s="9" t="s">
        <v>24</v>
      </c>
      <c r="E84" s="9" t="s">
        <v>25</v>
      </c>
      <c r="F84" s="9" t="s">
        <v>37</v>
      </c>
      <c r="G84" s="9" t="s">
        <v>83</v>
      </c>
      <c r="H84" s="9">
        <v>2</v>
      </c>
      <c r="I84" s="11">
        <v>499</v>
      </c>
      <c r="J84" s="11">
        <v>350</v>
      </c>
      <c r="K84" s="11">
        <f t="shared" si="5"/>
        <v>998</v>
      </c>
      <c r="L84" s="11">
        <f t="shared" si="6"/>
        <v>700</v>
      </c>
      <c r="M84" s="11">
        <f t="shared" si="7"/>
        <v>298</v>
      </c>
    </row>
    <row r="85" spans="1:13" x14ac:dyDescent="0.35">
      <c r="A85" s="9" t="s">
        <v>164</v>
      </c>
      <c r="B85" s="10">
        <v>46094</v>
      </c>
      <c r="C85" s="9" t="str">
        <f t="shared" si="4"/>
        <v>Mar</v>
      </c>
      <c r="D85" s="9" t="s">
        <v>68</v>
      </c>
      <c r="E85" s="9" t="s">
        <v>40</v>
      </c>
      <c r="F85" s="9" t="s">
        <v>43</v>
      </c>
      <c r="G85" s="9" t="s">
        <v>165</v>
      </c>
      <c r="H85" s="9">
        <v>1</v>
      </c>
      <c r="I85" s="11">
        <v>799</v>
      </c>
      <c r="J85" s="11">
        <v>474</v>
      </c>
      <c r="K85" s="11">
        <f t="shared" si="5"/>
        <v>799</v>
      </c>
      <c r="L85" s="11">
        <f t="shared" si="6"/>
        <v>474</v>
      </c>
      <c r="M85" s="11">
        <f t="shared" si="7"/>
        <v>325</v>
      </c>
    </row>
    <row r="86" spans="1:13" x14ac:dyDescent="0.35">
      <c r="A86" s="9" t="s">
        <v>166</v>
      </c>
      <c r="B86" s="10">
        <v>46094</v>
      </c>
      <c r="C86" s="9" t="str">
        <f t="shared" si="4"/>
        <v>Mar</v>
      </c>
      <c r="D86" s="9" t="s">
        <v>36</v>
      </c>
      <c r="E86" s="9" t="s">
        <v>46</v>
      </c>
      <c r="F86" s="9" t="s">
        <v>51</v>
      </c>
      <c r="G86" s="9" t="s">
        <v>104</v>
      </c>
      <c r="H86" s="9">
        <v>2</v>
      </c>
      <c r="I86" s="11">
        <v>3499</v>
      </c>
      <c r="J86" s="11">
        <v>2218</v>
      </c>
      <c r="K86" s="11">
        <f t="shared" si="5"/>
        <v>6998</v>
      </c>
      <c r="L86" s="11">
        <f t="shared" si="6"/>
        <v>4436</v>
      </c>
      <c r="M86" s="11">
        <f t="shared" si="7"/>
        <v>2562</v>
      </c>
    </row>
    <row r="87" spans="1:13" x14ac:dyDescent="0.35">
      <c r="A87" s="9" t="s">
        <v>167</v>
      </c>
      <c r="B87" s="10">
        <v>46095</v>
      </c>
      <c r="C87" s="9" t="str">
        <f t="shared" si="4"/>
        <v>Mar</v>
      </c>
      <c r="D87" s="9" t="s">
        <v>36</v>
      </c>
      <c r="E87" s="9" t="s">
        <v>25</v>
      </c>
      <c r="F87" s="9" t="s">
        <v>37</v>
      </c>
      <c r="G87" s="9" t="s">
        <v>121</v>
      </c>
      <c r="H87" s="9">
        <v>2</v>
      </c>
      <c r="I87" s="11">
        <v>499</v>
      </c>
      <c r="J87" s="11">
        <v>350</v>
      </c>
      <c r="K87" s="11">
        <f t="shared" si="5"/>
        <v>998</v>
      </c>
      <c r="L87" s="11">
        <f t="shared" si="6"/>
        <v>700</v>
      </c>
      <c r="M87" s="11">
        <f t="shared" si="7"/>
        <v>298</v>
      </c>
    </row>
    <row r="88" spans="1:13" x14ac:dyDescent="0.35">
      <c r="A88" s="9" t="s">
        <v>168</v>
      </c>
      <c r="B88" s="10">
        <v>46095</v>
      </c>
      <c r="C88" s="9" t="str">
        <f t="shared" si="4"/>
        <v>Mar</v>
      </c>
      <c r="D88" s="9" t="s">
        <v>68</v>
      </c>
      <c r="E88" s="9" t="s">
        <v>40</v>
      </c>
      <c r="F88" s="9" t="s">
        <v>113</v>
      </c>
      <c r="G88" s="9" t="s">
        <v>70</v>
      </c>
      <c r="H88" s="9">
        <v>1</v>
      </c>
      <c r="I88" s="11">
        <v>2499</v>
      </c>
      <c r="J88" s="11">
        <v>1390</v>
      </c>
      <c r="K88" s="11">
        <f t="shared" si="5"/>
        <v>2499</v>
      </c>
      <c r="L88" s="11">
        <f t="shared" si="6"/>
        <v>1390</v>
      </c>
      <c r="M88" s="11">
        <f t="shared" si="7"/>
        <v>1109</v>
      </c>
    </row>
    <row r="89" spans="1:13" x14ac:dyDescent="0.35">
      <c r="A89" s="9" t="s">
        <v>169</v>
      </c>
      <c r="B89" s="10">
        <v>46097</v>
      </c>
      <c r="C89" s="9" t="str">
        <f t="shared" si="4"/>
        <v>Mar</v>
      </c>
      <c r="D89" s="9" t="s">
        <v>19</v>
      </c>
      <c r="E89" s="9" t="s">
        <v>40</v>
      </c>
      <c r="F89" s="9" t="s">
        <v>41</v>
      </c>
      <c r="G89" s="9" t="s">
        <v>27</v>
      </c>
      <c r="H89" s="9">
        <v>2</v>
      </c>
      <c r="I89" s="11">
        <v>3499</v>
      </c>
      <c r="J89" s="11">
        <v>2346</v>
      </c>
      <c r="K89" s="11">
        <f t="shared" si="5"/>
        <v>6998</v>
      </c>
      <c r="L89" s="11">
        <f t="shared" si="6"/>
        <v>4692</v>
      </c>
      <c r="M89" s="11">
        <f t="shared" si="7"/>
        <v>2306</v>
      </c>
    </row>
    <row r="90" spans="1:13" x14ac:dyDescent="0.35">
      <c r="A90" s="9" t="s">
        <v>170</v>
      </c>
      <c r="B90" s="10">
        <v>46098</v>
      </c>
      <c r="C90" s="9" t="str">
        <f t="shared" si="4"/>
        <v>Mar</v>
      </c>
      <c r="D90" s="9" t="s">
        <v>68</v>
      </c>
      <c r="E90" s="9" t="s">
        <v>46</v>
      </c>
      <c r="F90" s="9" t="s">
        <v>51</v>
      </c>
      <c r="G90" s="9" t="s">
        <v>130</v>
      </c>
      <c r="H90" s="9">
        <v>3</v>
      </c>
      <c r="I90" s="11">
        <v>3499</v>
      </c>
      <c r="J90" s="11">
        <v>2218</v>
      </c>
      <c r="K90" s="11">
        <f t="shared" si="5"/>
        <v>10497</v>
      </c>
      <c r="L90" s="11">
        <f t="shared" si="6"/>
        <v>6654</v>
      </c>
      <c r="M90" s="11">
        <f t="shared" si="7"/>
        <v>3843</v>
      </c>
    </row>
    <row r="91" spans="1:13" x14ac:dyDescent="0.35">
      <c r="A91" s="9" t="s">
        <v>171</v>
      </c>
      <c r="B91" s="10">
        <v>46100</v>
      </c>
      <c r="C91" s="9" t="str">
        <f t="shared" si="4"/>
        <v>Mar</v>
      </c>
      <c r="D91" s="9" t="s">
        <v>24</v>
      </c>
      <c r="E91" s="9" t="s">
        <v>40</v>
      </c>
      <c r="F91" s="9" t="s">
        <v>43</v>
      </c>
      <c r="G91" s="9" t="s">
        <v>125</v>
      </c>
      <c r="H91" s="9">
        <v>3</v>
      </c>
      <c r="I91" s="11">
        <v>799</v>
      </c>
      <c r="J91" s="11">
        <v>474</v>
      </c>
      <c r="K91" s="11">
        <f t="shared" si="5"/>
        <v>2397</v>
      </c>
      <c r="L91" s="11">
        <f t="shared" si="6"/>
        <v>1422</v>
      </c>
      <c r="M91" s="11">
        <f t="shared" si="7"/>
        <v>975</v>
      </c>
    </row>
    <row r="92" spans="1:13" x14ac:dyDescent="0.35">
      <c r="A92" s="9" t="s">
        <v>172</v>
      </c>
      <c r="B92" s="10">
        <v>46100</v>
      </c>
      <c r="C92" s="9" t="str">
        <f t="shared" si="4"/>
        <v>Mar</v>
      </c>
      <c r="D92" s="9" t="s">
        <v>36</v>
      </c>
      <c r="E92" s="9" t="s">
        <v>40</v>
      </c>
      <c r="F92" s="9" t="s">
        <v>113</v>
      </c>
      <c r="G92" s="9" t="s">
        <v>104</v>
      </c>
      <c r="H92" s="9">
        <v>1</v>
      </c>
      <c r="I92" s="11">
        <v>2499</v>
      </c>
      <c r="J92" s="11">
        <v>1390</v>
      </c>
      <c r="K92" s="11">
        <f t="shared" si="5"/>
        <v>2499</v>
      </c>
      <c r="L92" s="11">
        <f t="shared" si="6"/>
        <v>1390</v>
      </c>
      <c r="M92" s="11">
        <f t="shared" si="7"/>
        <v>1109</v>
      </c>
    </row>
    <row r="93" spans="1:13" x14ac:dyDescent="0.35">
      <c r="A93" s="9" t="s">
        <v>173</v>
      </c>
      <c r="B93" s="10">
        <v>46100</v>
      </c>
      <c r="C93" s="9" t="str">
        <f t="shared" si="4"/>
        <v>Mar</v>
      </c>
      <c r="D93" s="9" t="s">
        <v>24</v>
      </c>
      <c r="E93" s="9" t="s">
        <v>29</v>
      </c>
      <c r="F93" s="9" t="s">
        <v>75</v>
      </c>
      <c r="G93" s="9" t="s">
        <v>125</v>
      </c>
      <c r="H93" s="9">
        <v>2</v>
      </c>
      <c r="I93" s="11">
        <v>799</v>
      </c>
      <c r="J93" s="11">
        <v>443</v>
      </c>
      <c r="K93" s="11">
        <f t="shared" si="5"/>
        <v>1598</v>
      </c>
      <c r="L93" s="11">
        <f t="shared" si="6"/>
        <v>886</v>
      </c>
      <c r="M93" s="11">
        <f t="shared" si="7"/>
        <v>712</v>
      </c>
    </row>
    <row r="94" spans="1:13" x14ac:dyDescent="0.35">
      <c r="A94" s="9" t="s">
        <v>174</v>
      </c>
      <c r="B94" s="10">
        <v>46101</v>
      </c>
      <c r="C94" s="9" t="str">
        <f t="shared" si="4"/>
        <v>Mar</v>
      </c>
      <c r="D94" s="9" t="s">
        <v>68</v>
      </c>
      <c r="E94" s="9" t="s">
        <v>46</v>
      </c>
      <c r="F94" s="9" t="s">
        <v>65</v>
      </c>
      <c r="G94" s="9" t="s">
        <v>31</v>
      </c>
      <c r="H94" s="9">
        <v>2</v>
      </c>
      <c r="I94" s="11">
        <v>3499</v>
      </c>
      <c r="J94" s="11">
        <v>2064</v>
      </c>
      <c r="K94" s="11">
        <f t="shared" si="5"/>
        <v>6998</v>
      </c>
      <c r="L94" s="11">
        <f t="shared" si="6"/>
        <v>4128</v>
      </c>
      <c r="M94" s="11">
        <f t="shared" si="7"/>
        <v>2870</v>
      </c>
    </row>
    <row r="95" spans="1:13" x14ac:dyDescent="0.35">
      <c r="A95" s="9" t="s">
        <v>175</v>
      </c>
      <c r="B95" s="10">
        <v>46102</v>
      </c>
      <c r="C95" s="9" t="str">
        <f t="shared" si="4"/>
        <v>Mar</v>
      </c>
      <c r="D95" s="9" t="s">
        <v>68</v>
      </c>
      <c r="E95" s="9" t="s">
        <v>46</v>
      </c>
      <c r="F95" s="9" t="s">
        <v>65</v>
      </c>
      <c r="G95" s="9" t="s">
        <v>125</v>
      </c>
      <c r="H95" s="9">
        <v>1</v>
      </c>
      <c r="I95" s="11">
        <v>3499</v>
      </c>
      <c r="J95" s="11">
        <v>2064</v>
      </c>
      <c r="K95" s="11">
        <f t="shared" si="5"/>
        <v>3499</v>
      </c>
      <c r="L95" s="11">
        <f t="shared" si="6"/>
        <v>2064</v>
      </c>
      <c r="M95" s="11">
        <f t="shared" si="7"/>
        <v>1435</v>
      </c>
    </row>
    <row r="96" spans="1:13" x14ac:dyDescent="0.35">
      <c r="A96" s="9" t="s">
        <v>176</v>
      </c>
      <c r="B96" s="10">
        <v>46102</v>
      </c>
      <c r="C96" s="9" t="str">
        <f t="shared" si="4"/>
        <v>Mar</v>
      </c>
      <c r="D96" s="9" t="s">
        <v>24</v>
      </c>
      <c r="E96" s="9" t="s">
        <v>25</v>
      </c>
      <c r="F96" s="9" t="s">
        <v>37</v>
      </c>
      <c r="G96" s="9" t="s">
        <v>177</v>
      </c>
      <c r="H96" s="9">
        <v>2</v>
      </c>
      <c r="I96" s="11">
        <v>499</v>
      </c>
      <c r="J96" s="11">
        <v>350</v>
      </c>
      <c r="K96" s="11">
        <f t="shared" si="5"/>
        <v>998</v>
      </c>
      <c r="L96" s="11">
        <f t="shared" si="6"/>
        <v>700</v>
      </c>
      <c r="M96" s="11">
        <f t="shared" si="7"/>
        <v>298</v>
      </c>
    </row>
    <row r="97" spans="1:13" x14ac:dyDescent="0.35">
      <c r="A97" s="9" t="s">
        <v>178</v>
      </c>
      <c r="B97" s="10">
        <v>46104</v>
      </c>
      <c r="C97" s="9" t="str">
        <f t="shared" si="4"/>
        <v>Mar</v>
      </c>
      <c r="D97" s="9" t="s">
        <v>24</v>
      </c>
      <c r="E97" s="9" t="s">
        <v>46</v>
      </c>
      <c r="F97" s="9" t="s">
        <v>65</v>
      </c>
      <c r="G97" s="9" t="s">
        <v>70</v>
      </c>
      <c r="H97" s="9">
        <v>1</v>
      </c>
      <c r="I97" s="11">
        <v>3499</v>
      </c>
      <c r="J97" s="11">
        <v>2064</v>
      </c>
      <c r="K97" s="11">
        <f t="shared" si="5"/>
        <v>3499</v>
      </c>
      <c r="L97" s="11">
        <f t="shared" si="6"/>
        <v>2064</v>
      </c>
      <c r="M97" s="11">
        <f t="shared" si="7"/>
        <v>1435</v>
      </c>
    </row>
    <row r="98" spans="1:13" x14ac:dyDescent="0.35">
      <c r="A98" s="9" t="s">
        <v>179</v>
      </c>
      <c r="B98" s="10">
        <v>46104</v>
      </c>
      <c r="C98" s="9" t="str">
        <f t="shared" si="4"/>
        <v>Mar</v>
      </c>
      <c r="D98" s="9" t="s">
        <v>24</v>
      </c>
      <c r="E98" s="9" t="s">
        <v>20</v>
      </c>
      <c r="F98" s="9" t="s">
        <v>33</v>
      </c>
      <c r="G98" s="9" t="s">
        <v>27</v>
      </c>
      <c r="H98" s="9">
        <v>1</v>
      </c>
      <c r="I98" s="11">
        <v>1999</v>
      </c>
      <c r="J98" s="11">
        <v>1140</v>
      </c>
      <c r="K98" s="11">
        <f t="shared" si="5"/>
        <v>1999</v>
      </c>
      <c r="L98" s="11">
        <f t="shared" si="6"/>
        <v>1140</v>
      </c>
      <c r="M98" s="11">
        <f t="shared" si="7"/>
        <v>859</v>
      </c>
    </row>
    <row r="99" spans="1:13" x14ac:dyDescent="0.35">
      <c r="A99" s="9" t="s">
        <v>180</v>
      </c>
      <c r="B99" s="10">
        <v>46104</v>
      </c>
      <c r="C99" s="9" t="str">
        <f t="shared" si="4"/>
        <v>Mar</v>
      </c>
      <c r="D99" s="9" t="s">
        <v>68</v>
      </c>
      <c r="E99" s="9" t="s">
        <v>25</v>
      </c>
      <c r="F99" s="9" t="s">
        <v>26</v>
      </c>
      <c r="G99" s="9" t="s">
        <v>132</v>
      </c>
      <c r="H99" s="9">
        <v>2</v>
      </c>
      <c r="I99" s="11">
        <v>1999</v>
      </c>
      <c r="J99" s="11">
        <v>1211</v>
      </c>
      <c r="K99" s="11">
        <f t="shared" si="5"/>
        <v>3998</v>
      </c>
      <c r="L99" s="11">
        <f t="shared" si="6"/>
        <v>2422</v>
      </c>
      <c r="M99" s="11">
        <f t="shared" si="7"/>
        <v>1576</v>
      </c>
    </row>
    <row r="100" spans="1:13" x14ac:dyDescent="0.35">
      <c r="A100" s="9" t="s">
        <v>181</v>
      </c>
      <c r="B100" s="10">
        <v>46105</v>
      </c>
      <c r="C100" s="9" t="str">
        <f t="shared" si="4"/>
        <v>Mar</v>
      </c>
      <c r="D100" s="9" t="s">
        <v>68</v>
      </c>
      <c r="E100" s="9" t="s">
        <v>40</v>
      </c>
      <c r="F100" s="9" t="s">
        <v>43</v>
      </c>
      <c r="G100" s="9" t="s">
        <v>121</v>
      </c>
      <c r="H100" s="9">
        <v>3</v>
      </c>
      <c r="I100" s="11">
        <v>799</v>
      </c>
      <c r="J100" s="11">
        <v>474</v>
      </c>
      <c r="K100" s="11">
        <f t="shared" si="5"/>
        <v>2397</v>
      </c>
      <c r="L100" s="11">
        <f t="shared" si="6"/>
        <v>1422</v>
      </c>
      <c r="M100" s="11">
        <f t="shared" si="7"/>
        <v>975</v>
      </c>
    </row>
    <row r="101" spans="1:13" x14ac:dyDescent="0.35">
      <c r="A101" s="9" t="s">
        <v>182</v>
      </c>
      <c r="B101" s="10">
        <v>46105</v>
      </c>
      <c r="C101" s="9" t="str">
        <f t="shared" si="4"/>
        <v>Mar</v>
      </c>
      <c r="D101" s="9" t="s">
        <v>68</v>
      </c>
      <c r="E101" s="9" t="s">
        <v>20</v>
      </c>
      <c r="F101" s="9" t="s">
        <v>33</v>
      </c>
      <c r="G101" s="9" t="s">
        <v>70</v>
      </c>
      <c r="H101" s="9">
        <v>2</v>
      </c>
      <c r="I101" s="11">
        <v>1999</v>
      </c>
      <c r="J101" s="11">
        <v>1140</v>
      </c>
      <c r="K101" s="11">
        <f t="shared" si="5"/>
        <v>3998</v>
      </c>
      <c r="L101" s="11">
        <f t="shared" si="6"/>
        <v>2280</v>
      </c>
      <c r="M101" s="11">
        <f t="shared" si="7"/>
        <v>1718</v>
      </c>
    </row>
    <row r="102" spans="1:13" x14ac:dyDescent="0.35">
      <c r="A102" s="9" t="s">
        <v>183</v>
      </c>
      <c r="B102" s="10">
        <v>46105</v>
      </c>
      <c r="C102" s="9" t="str">
        <f t="shared" si="4"/>
        <v>Mar</v>
      </c>
      <c r="D102" s="9" t="s">
        <v>36</v>
      </c>
      <c r="E102" s="9" t="s">
        <v>20</v>
      </c>
      <c r="F102" s="9" t="s">
        <v>33</v>
      </c>
      <c r="G102" s="9" t="s">
        <v>99</v>
      </c>
      <c r="H102" s="9">
        <v>2</v>
      </c>
      <c r="I102" s="11">
        <v>1999</v>
      </c>
      <c r="J102" s="11">
        <v>1140</v>
      </c>
      <c r="K102" s="11">
        <f t="shared" si="5"/>
        <v>3998</v>
      </c>
      <c r="L102" s="11">
        <f t="shared" si="6"/>
        <v>2280</v>
      </c>
      <c r="M102" s="11">
        <f t="shared" si="7"/>
        <v>1718</v>
      </c>
    </row>
    <row r="103" spans="1:13" x14ac:dyDescent="0.35">
      <c r="A103" s="9" t="s">
        <v>184</v>
      </c>
      <c r="B103" s="10">
        <v>46106</v>
      </c>
      <c r="C103" s="9" t="str">
        <f t="shared" si="4"/>
        <v>Mar</v>
      </c>
      <c r="D103" s="9" t="s">
        <v>19</v>
      </c>
      <c r="E103" s="9" t="s">
        <v>20</v>
      </c>
      <c r="F103" s="9" t="s">
        <v>21</v>
      </c>
      <c r="G103" s="9" t="s">
        <v>185</v>
      </c>
      <c r="H103" s="9">
        <v>2</v>
      </c>
      <c r="I103" s="11">
        <v>1299</v>
      </c>
      <c r="J103" s="11">
        <v>963</v>
      </c>
      <c r="K103" s="11">
        <f t="shared" si="5"/>
        <v>2598</v>
      </c>
      <c r="L103" s="11">
        <f t="shared" si="6"/>
        <v>1926</v>
      </c>
      <c r="M103" s="11">
        <f t="shared" si="7"/>
        <v>672</v>
      </c>
    </row>
    <row r="104" spans="1:13" x14ac:dyDescent="0.35">
      <c r="A104" s="9" t="s">
        <v>186</v>
      </c>
      <c r="B104" s="10">
        <v>46107</v>
      </c>
      <c r="C104" s="9" t="str">
        <f t="shared" si="4"/>
        <v>Mar</v>
      </c>
      <c r="D104" s="9" t="s">
        <v>24</v>
      </c>
      <c r="E104" s="9" t="s">
        <v>46</v>
      </c>
      <c r="F104" s="9" t="s">
        <v>65</v>
      </c>
      <c r="G104" s="9" t="s">
        <v>38</v>
      </c>
      <c r="H104" s="9">
        <v>1</v>
      </c>
      <c r="I104" s="11">
        <v>3499</v>
      </c>
      <c r="J104" s="11">
        <v>2064</v>
      </c>
      <c r="K104" s="11">
        <f t="shared" si="5"/>
        <v>3499</v>
      </c>
      <c r="L104" s="11">
        <f t="shared" si="6"/>
        <v>2064</v>
      </c>
      <c r="M104" s="11">
        <f t="shared" si="7"/>
        <v>1435</v>
      </c>
    </row>
    <row r="105" spans="1:13" x14ac:dyDescent="0.35">
      <c r="A105" s="9" t="s">
        <v>187</v>
      </c>
      <c r="B105" s="10">
        <v>46107</v>
      </c>
      <c r="C105" s="9" t="str">
        <f t="shared" si="4"/>
        <v>Mar</v>
      </c>
      <c r="D105" s="9" t="s">
        <v>19</v>
      </c>
      <c r="E105" s="9" t="s">
        <v>40</v>
      </c>
      <c r="F105" s="9" t="s">
        <v>113</v>
      </c>
      <c r="G105" s="9" t="s">
        <v>55</v>
      </c>
      <c r="H105" s="9">
        <v>2</v>
      </c>
      <c r="I105" s="11">
        <v>2499</v>
      </c>
      <c r="J105" s="11">
        <v>1390</v>
      </c>
      <c r="K105" s="11">
        <f t="shared" si="5"/>
        <v>4998</v>
      </c>
      <c r="L105" s="11">
        <f t="shared" si="6"/>
        <v>2780</v>
      </c>
      <c r="M105" s="11">
        <f t="shared" si="7"/>
        <v>2218</v>
      </c>
    </row>
    <row r="106" spans="1:13" x14ac:dyDescent="0.35">
      <c r="A106" s="9" t="s">
        <v>188</v>
      </c>
      <c r="B106" s="10">
        <v>46109</v>
      </c>
      <c r="C106" s="9" t="str">
        <f t="shared" si="4"/>
        <v>Mar</v>
      </c>
      <c r="D106" s="9" t="s">
        <v>36</v>
      </c>
      <c r="E106" s="9" t="s">
        <v>25</v>
      </c>
      <c r="F106" s="9" t="s">
        <v>61</v>
      </c>
      <c r="G106" s="9" t="s">
        <v>44</v>
      </c>
      <c r="H106" s="9">
        <v>1</v>
      </c>
      <c r="I106" s="11">
        <v>999</v>
      </c>
      <c r="J106" s="11">
        <v>689</v>
      </c>
      <c r="K106" s="11">
        <f t="shared" si="5"/>
        <v>999</v>
      </c>
      <c r="L106" s="11">
        <f t="shared" si="6"/>
        <v>689</v>
      </c>
      <c r="M106" s="11">
        <f t="shared" si="7"/>
        <v>310</v>
      </c>
    </row>
    <row r="107" spans="1:13" x14ac:dyDescent="0.35">
      <c r="A107" s="9" t="s">
        <v>189</v>
      </c>
      <c r="B107" s="10">
        <v>46109</v>
      </c>
      <c r="C107" s="9" t="str">
        <f t="shared" si="4"/>
        <v>Mar</v>
      </c>
      <c r="D107" s="9" t="s">
        <v>68</v>
      </c>
      <c r="E107" s="9" t="s">
        <v>40</v>
      </c>
      <c r="F107" s="9" t="s">
        <v>41</v>
      </c>
      <c r="G107" s="9" t="s">
        <v>92</v>
      </c>
      <c r="H107" s="9">
        <v>2</v>
      </c>
      <c r="I107" s="11">
        <v>3499</v>
      </c>
      <c r="J107" s="11">
        <v>2346</v>
      </c>
      <c r="K107" s="11">
        <f t="shared" si="5"/>
        <v>6998</v>
      </c>
      <c r="L107" s="11">
        <f t="shared" si="6"/>
        <v>4692</v>
      </c>
      <c r="M107" s="11">
        <f t="shared" si="7"/>
        <v>2306</v>
      </c>
    </row>
    <row r="108" spans="1:13" x14ac:dyDescent="0.35">
      <c r="A108" s="9" t="s">
        <v>190</v>
      </c>
      <c r="B108" s="10">
        <v>46111</v>
      </c>
      <c r="C108" s="9" t="str">
        <f t="shared" si="4"/>
        <v>Mar</v>
      </c>
      <c r="D108" s="9" t="s">
        <v>68</v>
      </c>
      <c r="E108" s="9" t="s">
        <v>29</v>
      </c>
      <c r="F108" s="9" t="s">
        <v>54</v>
      </c>
      <c r="G108" s="9" t="s">
        <v>159</v>
      </c>
      <c r="H108" s="9">
        <v>2</v>
      </c>
      <c r="I108" s="11">
        <v>3499</v>
      </c>
      <c r="J108" s="11">
        <v>1985</v>
      </c>
      <c r="K108" s="11">
        <f t="shared" si="5"/>
        <v>6998</v>
      </c>
      <c r="L108" s="11">
        <f t="shared" si="6"/>
        <v>3970</v>
      </c>
      <c r="M108" s="11">
        <f t="shared" si="7"/>
        <v>3028</v>
      </c>
    </row>
    <row r="109" spans="1:13" x14ac:dyDescent="0.35">
      <c r="A109" s="9" t="s">
        <v>191</v>
      </c>
      <c r="B109" s="10">
        <v>46112</v>
      </c>
      <c r="C109" s="9" t="str">
        <f t="shared" si="4"/>
        <v>Mar</v>
      </c>
      <c r="D109" s="9" t="s">
        <v>68</v>
      </c>
      <c r="E109" s="9" t="s">
        <v>20</v>
      </c>
      <c r="F109" s="9" t="s">
        <v>21</v>
      </c>
      <c r="G109" s="9" t="s">
        <v>99</v>
      </c>
      <c r="H109" s="9">
        <v>1</v>
      </c>
      <c r="I109" s="11">
        <v>1299</v>
      </c>
      <c r="J109" s="11">
        <v>963</v>
      </c>
      <c r="K109" s="11">
        <f t="shared" si="5"/>
        <v>1299</v>
      </c>
      <c r="L109" s="11">
        <f t="shared" si="6"/>
        <v>963</v>
      </c>
      <c r="M109" s="11">
        <f t="shared" si="7"/>
        <v>336</v>
      </c>
    </row>
    <row r="110" spans="1:13" x14ac:dyDescent="0.35">
      <c r="A110" s="9" t="s">
        <v>192</v>
      </c>
      <c r="B110" s="10">
        <v>46113</v>
      </c>
      <c r="C110" s="9" t="str">
        <f t="shared" si="4"/>
        <v>Apr</v>
      </c>
      <c r="D110" s="9" t="s">
        <v>68</v>
      </c>
      <c r="E110" s="9" t="s">
        <v>25</v>
      </c>
      <c r="F110" s="9" t="s">
        <v>26</v>
      </c>
      <c r="G110" s="9" t="s">
        <v>193</v>
      </c>
      <c r="H110" s="9">
        <v>2</v>
      </c>
      <c r="I110" s="11">
        <v>1999</v>
      </c>
      <c r="J110" s="11">
        <v>1211</v>
      </c>
      <c r="K110" s="11">
        <f t="shared" si="5"/>
        <v>3998</v>
      </c>
      <c r="L110" s="11">
        <f t="shared" si="6"/>
        <v>2422</v>
      </c>
      <c r="M110" s="11">
        <f t="shared" si="7"/>
        <v>1576</v>
      </c>
    </row>
    <row r="111" spans="1:13" x14ac:dyDescent="0.35">
      <c r="A111" s="9" t="s">
        <v>194</v>
      </c>
      <c r="B111" s="10">
        <v>46113</v>
      </c>
      <c r="C111" s="9" t="str">
        <f t="shared" si="4"/>
        <v>Apr</v>
      </c>
      <c r="D111" s="9" t="s">
        <v>36</v>
      </c>
      <c r="E111" s="9" t="s">
        <v>25</v>
      </c>
      <c r="F111" s="9" t="s">
        <v>61</v>
      </c>
      <c r="G111" s="9" t="s">
        <v>110</v>
      </c>
      <c r="H111" s="9">
        <v>1</v>
      </c>
      <c r="I111" s="11">
        <v>999</v>
      </c>
      <c r="J111" s="11">
        <v>689</v>
      </c>
      <c r="K111" s="11">
        <f t="shared" si="5"/>
        <v>999</v>
      </c>
      <c r="L111" s="11">
        <f t="shared" si="6"/>
        <v>689</v>
      </c>
      <c r="M111" s="11">
        <f t="shared" si="7"/>
        <v>310</v>
      </c>
    </row>
    <row r="112" spans="1:13" x14ac:dyDescent="0.35">
      <c r="A112" s="9" t="s">
        <v>195</v>
      </c>
      <c r="B112" s="10">
        <v>46114</v>
      </c>
      <c r="C112" s="9" t="str">
        <f t="shared" si="4"/>
        <v>Apr</v>
      </c>
      <c r="D112" s="9" t="s">
        <v>68</v>
      </c>
      <c r="E112" s="9" t="s">
        <v>29</v>
      </c>
      <c r="F112" s="9" t="s">
        <v>75</v>
      </c>
      <c r="G112" s="9" t="s">
        <v>92</v>
      </c>
      <c r="H112" s="9">
        <v>3</v>
      </c>
      <c r="I112" s="11">
        <v>799</v>
      </c>
      <c r="J112" s="11">
        <v>443</v>
      </c>
      <c r="K112" s="11">
        <f t="shared" si="5"/>
        <v>2397</v>
      </c>
      <c r="L112" s="11">
        <f t="shared" si="6"/>
        <v>1329</v>
      </c>
      <c r="M112" s="11">
        <f t="shared" si="7"/>
        <v>1068</v>
      </c>
    </row>
    <row r="113" spans="1:13" x14ac:dyDescent="0.35">
      <c r="A113" s="9" t="s">
        <v>196</v>
      </c>
      <c r="B113" s="10">
        <v>46114</v>
      </c>
      <c r="C113" s="9" t="str">
        <f t="shared" si="4"/>
        <v>Apr</v>
      </c>
      <c r="D113" s="9" t="s">
        <v>68</v>
      </c>
      <c r="E113" s="9" t="s">
        <v>25</v>
      </c>
      <c r="F113" s="9" t="s">
        <v>37</v>
      </c>
      <c r="G113" s="9" t="s">
        <v>130</v>
      </c>
      <c r="H113" s="9">
        <v>2</v>
      </c>
      <c r="I113" s="11">
        <v>499</v>
      </c>
      <c r="J113" s="11">
        <v>350</v>
      </c>
      <c r="K113" s="11">
        <f t="shared" si="5"/>
        <v>998</v>
      </c>
      <c r="L113" s="11">
        <f t="shared" si="6"/>
        <v>700</v>
      </c>
      <c r="M113" s="11">
        <f t="shared" si="7"/>
        <v>298</v>
      </c>
    </row>
    <row r="114" spans="1:13" x14ac:dyDescent="0.35">
      <c r="A114" s="9" t="s">
        <v>197</v>
      </c>
      <c r="B114" s="10">
        <v>46115</v>
      </c>
      <c r="C114" s="9" t="str">
        <f t="shared" si="4"/>
        <v>Apr</v>
      </c>
      <c r="D114" s="9" t="s">
        <v>24</v>
      </c>
      <c r="E114" s="9" t="s">
        <v>46</v>
      </c>
      <c r="F114" s="9" t="s">
        <v>51</v>
      </c>
      <c r="G114" s="9" t="s">
        <v>119</v>
      </c>
      <c r="H114" s="9">
        <v>2</v>
      </c>
      <c r="I114" s="11">
        <v>3499</v>
      </c>
      <c r="J114" s="11">
        <v>2218</v>
      </c>
      <c r="K114" s="11">
        <f t="shared" si="5"/>
        <v>6998</v>
      </c>
      <c r="L114" s="11">
        <f t="shared" si="6"/>
        <v>4436</v>
      </c>
      <c r="M114" s="11">
        <f t="shared" si="7"/>
        <v>2562</v>
      </c>
    </row>
    <row r="115" spans="1:13" x14ac:dyDescent="0.35">
      <c r="A115" s="9" t="s">
        <v>198</v>
      </c>
      <c r="B115" s="10">
        <v>46115</v>
      </c>
      <c r="C115" s="9" t="str">
        <f t="shared" si="4"/>
        <v>Apr</v>
      </c>
      <c r="D115" s="9" t="s">
        <v>24</v>
      </c>
      <c r="E115" s="9" t="s">
        <v>46</v>
      </c>
      <c r="F115" s="9" t="s">
        <v>47</v>
      </c>
      <c r="G115" s="9" t="s">
        <v>108</v>
      </c>
      <c r="H115" s="9">
        <v>3</v>
      </c>
      <c r="I115" s="11">
        <v>2999</v>
      </c>
      <c r="J115" s="11">
        <v>2003</v>
      </c>
      <c r="K115" s="11">
        <f t="shared" si="5"/>
        <v>8997</v>
      </c>
      <c r="L115" s="11">
        <f t="shared" si="6"/>
        <v>6009</v>
      </c>
      <c r="M115" s="11">
        <f t="shared" si="7"/>
        <v>2988</v>
      </c>
    </row>
    <row r="116" spans="1:13" x14ac:dyDescent="0.35">
      <c r="A116" s="9" t="s">
        <v>199</v>
      </c>
      <c r="B116" s="10">
        <v>46115</v>
      </c>
      <c r="C116" s="9" t="str">
        <f t="shared" si="4"/>
        <v>Apr</v>
      </c>
      <c r="D116" s="9" t="s">
        <v>36</v>
      </c>
      <c r="E116" s="9" t="s">
        <v>40</v>
      </c>
      <c r="F116" s="9" t="s">
        <v>41</v>
      </c>
      <c r="G116" s="9" t="s">
        <v>27</v>
      </c>
      <c r="H116" s="9">
        <v>1</v>
      </c>
      <c r="I116" s="11">
        <v>3499</v>
      </c>
      <c r="J116" s="11">
        <v>2346</v>
      </c>
      <c r="K116" s="11">
        <f t="shared" si="5"/>
        <v>3499</v>
      </c>
      <c r="L116" s="11">
        <f t="shared" si="6"/>
        <v>2346</v>
      </c>
      <c r="M116" s="11">
        <f t="shared" si="7"/>
        <v>1153</v>
      </c>
    </row>
    <row r="117" spans="1:13" x14ac:dyDescent="0.35">
      <c r="A117" s="9" t="s">
        <v>200</v>
      </c>
      <c r="B117" s="10">
        <v>46118</v>
      </c>
      <c r="C117" s="9" t="str">
        <f t="shared" si="4"/>
        <v>Apr</v>
      </c>
      <c r="D117" s="9" t="s">
        <v>19</v>
      </c>
      <c r="E117" s="9" t="s">
        <v>46</v>
      </c>
      <c r="F117" s="9" t="s">
        <v>65</v>
      </c>
      <c r="G117" s="9" t="s">
        <v>92</v>
      </c>
      <c r="H117" s="9">
        <v>2</v>
      </c>
      <c r="I117" s="11">
        <v>3499</v>
      </c>
      <c r="J117" s="11">
        <v>2064</v>
      </c>
      <c r="K117" s="11">
        <f t="shared" si="5"/>
        <v>6998</v>
      </c>
      <c r="L117" s="11">
        <f t="shared" si="6"/>
        <v>4128</v>
      </c>
      <c r="M117" s="11">
        <f t="shared" si="7"/>
        <v>2870</v>
      </c>
    </row>
    <row r="118" spans="1:13" x14ac:dyDescent="0.35">
      <c r="A118" s="9" t="s">
        <v>201</v>
      </c>
      <c r="B118" s="10">
        <v>46119</v>
      </c>
      <c r="C118" s="9" t="str">
        <f t="shared" si="4"/>
        <v>Apr</v>
      </c>
      <c r="D118" s="9" t="s">
        <v>24</v>
      </c>
      <c r="E118" s="9" t="s">
        <v>40</v>
      </c>
      <c r="F118" s="9" t="s">
        <v>113</v>
      </c>
      <c r="G118" s="9" t="s">
        <v>99</v>
      </c>
      <c r="H118" s="9">
        <v>1</v>
      </c>
      <c r="I118" s="11">
        <v>2499</v>
      </c>
      <c r="J118" s="11">
        <v>1390</v>
      </c>
      <c r="K118" s="11">
        <f t="shared" si="5"/>
        <v>2499</v>
      </c>
      <c r="L118" s="11">
        <f t="shared" si="6"/>
        <v>1390</v>
      </c>
      <c r="M118" s="11">
        <f t="shared" si="7"/>
        <v>1109</v>
      </c>
    </row>
    <row r="119" spans="1:13" x14ac:dyDescent="0.35">
      <c r="A119" s="9" t="s">
        <v>202</v>
      </c>
      <c r="B119" s="10">
        <v>46119</v>
      </c>
      <c r="C119" s="9" t="str">
        <f t="shared" si="4"/>
        <v>Apr</v>
      </c>
      <c r="D119" s="9" t="s">
        <v>24</v>
      </c>
      <c r="E119" s="9" t="s">
        <v>25</v>
      </c>
      <c r="F119" s="9" t="s">
        <v>61</v>
      </c>
      <c r="G119" s="9" t="s">
        <v>101</v>
      </c>
      <c r="H119" s="9">
        <v>1</v>
      </c>
      <c r="I119" s="11">
        <v>999</v>
      </c>
      <c r="J119" s="11">
        <v>689</v>
      </c>
      <c r="K119" s="11">
        <f t="shared" si="5"/>
        <v>999</v>
      </c>
      <c r="L119" s="11">
        <f t="shared" si="6"/>
        <v>689</v>
      </c>
      <c r="M119" s="11">
        <f t="shared" si="7"/>
        <v>310</v>
      </c>
    </row>
    <row r="120" spans="1:13" x14ac:dyDescent="0.35">
      <c r="A120" s="9" t="s">
        <v>203</v>
      </c>
      <c r="B120" s="10">
        <v>46120</v>
      </c>
      <c r="C120" s="9" t="str">
        <f t="shared" si="4"/>
        <v>Apr</v>
      </c>
      <c r="D120" s="9" t="s">
        <v>24</v>
      </c>
      <c r="E120" s="9" t="s">
        <v>25</v>
      </c>
      <c r="F120" s="9" t="s">
        <v>26</v>
      </c>
      <c r="G120" s="9" t="s">
        <v>125</v>
      </c>
      <c r="H120" s="9">
        <v>1</v>
      </c>
      <c r="I120" s="11">
        <v>1999</v>
      </c>
      <c r="J120" s="11">
        <v>1211</v>
      </c>
      <c r="K120" s="11">
        <f t="shared" si="5"/>
        <v>1999</v>
      </c>
      <c r="L120" s="11">
        <f t="shared" si="6"/>
        <v>1211</v>
      </c>
      <c r="M120" s="11">
        <f t="shared" si="7"/>
        <v>788</v>
      </c>
    </row>
    <row r="121" spans="1:13" x14ac:dyDescent="0.35">
      <c r="A121" s="9" t="s">
        <v>204</v>
      </c>
      <c r="B121" s="10">
        <v>46121</v>
      </c>
      <c r="C121" s="9" t="str">
        <f t="shared" si="4"/>
        <v>Apr</v>
      </c>
      <c r="D121" s="9" t="s">
        <v>36</v>
      </c>
      <c r="E121" s="9" t="s">
        <v>29</v>
      </c>
      <c r="F121" s="9" t="s">
        <v>58</v>
      </c>
      <c r="G121" s="9" t="s">
        <v>59</v>
      </c>
      <c r="H121" s="9">
        <v>2</v>
      </c>
      <c r="I121" s="11">
        <v>999</v>
      </c>
      <c r="J121" s="11">
        <v>697</v>
      </c>
      <c r="K121" s="11">
        <f t="shared" si="5"/>
        <v>1998</v>
      </c>
      <c r="L121" s="11">
        <f t="shared" si="6"/>
        <v>1394</v>
      </c>
      <c r="M121" s="11">
        <f t="shared" si="7"/>
        <v>604</v>
      </c>
    </row>
    <row r="122" spans="1:13" x14ac:dyDescent="0.35">
      <c r="A122" s="9" t="s">
        <v>205</v>
      </c>
      <c r="B122" s="10">
        <v>46121</v>
      </c>
      <c r="C122" s="9" t="str">
        <f t="shared" si="4"/>
        <v>Apr</v>
      </c>
      <c r="D122" s="9" t="s">
        <v>24</v>
      </c>
      <c r="E122" s="9" t="s">
        <v>25</v>
      </c>
      <c r="F122" s="9" t="s">
        <v>37</v>
      </c>
      <c r="G122" s="9" t="s">
        <v>34</v>
      </c>
      <c r="H122" s="9">
        <v>1</v>
      </c>
      <c r="I122" s="11">
        <v>499</v>
      </c>
      <c r="J122" s="11">
        <v>350</v>
      </c>
      <c r="K122" s="11">
        <f t="shared" si="5"/>
        <v>499</v>
      </c>
      <c r="L122" s="11">
        <f t="shared" si="6"/>
        <v>350</v>
      </c>
      <c r="M122" s="11">
        <f t="shared" si="7"/>
        <v>149</v>
      </c>
    </row>
    <row r="123" spans="1:13" x14ac:dyDescent="0.35">
      <c r="A123" s="9" t="s">
        <v>206</v>
      </c>
      <c r="B123" s="10">
        <v>46121</v>
      </c>
      <c r="C123" s="9" t="str">
        <f t="shared" si="4"/>
        <v>Apr</v>
      </c>
      <c r="D123" s="9" t="s">
        <v>19</v>
      </c>
      <c r="E123" s="9" t="s">
        <v>46</v>
      </c>
      <c r="F123" s="9" t="s">
        <v>65</v>
      </c>
      <c r="G123" s="9" t="s">
        <v>142</v>
      </c>
      <c r="H123" s="9">
        <v>1</v>
      </c>
      <c r="I123" s="11">
        <v>3499</v>
      </c>
      <c r="J123" s="11">
        <v>2064</v>
      </c>
      <c r="K123" s="11">
        <f t="shared" si="5"/>
        <v>3499</v>
      </c>
      <c r="L123" s="11">
        <f t="shared" si="6"/>
        <v>2064</v>
      </c>
      <c r="M123" s="11">
        <f t="shared" si="7"/>
        <v>1435</v>
      </c>
    </row>
    <row r="124" spans="1:13" x14ac:dyDescent="0.35">
      <c r="A124" s="9" t="s">
        <v>207</v>
      </c>
      <c r="B124" s="10">
        <v>46122</v>
      </c>
      <c r="C124" s="9" t="str">
        <f t="shared" si="4"/>
        <v>Apr</v>
      </c>
      <c r="D124" s="9" t="s">
        <v>36</v>
      </c>
      <c r="E124" s="9" t="s">
        <v>25</v>
      </c>
      <c r="F124" s="9" t="s">
        <v>26</v>
      </c>
      <c r="G124" s="9" t="s">
        <v>83</v>
      </c>
      <c r="H124" s="9">
        <v>1</v>
      </c>
      <c r="I124" s="11">
        <v>1999</v>
      </c>
      <c r="J124" s="11">
        <v>1211</v>
      </c>
      <c r="K124" s="11">
        <f t="shared" si="5"/>
        <v>1999</v>
      </c>
      <c r="L124" s="11">
        <f t="shared" si="6"/>
        <v>1211</v>
      </c>
      <c r="M124" s="11">
        <f t="shared" si="7"/>
        <v>788</v>
      </c>
    </row>
    <row r="125" spans="1:13" x14ac:dyDescent="0.35">
      <c r="A125" s="9" t="s">
        <v>208</v>
      </c>
      <c r="B125" s="10">
        <v>46123</v>
      </c>
      <c r="C125" s="9" t="str">
        <f t="shared" si="4"/>
        <v>Apr</v>
      </c>
      <c r="D125" s="9" t="s">
        <v>68</v>
      </c>
      <c r="E125" s="9" t="s">
        <v>46</v>
      </c>
      <c r="F125" s="9" t="s">
        <v>47</v>
      </c>
      <c r="G125" s="9" t="s">
        <v>119</v>
      </c>
      <c r="H125" s="9">
        <v>3</v>
      </c>
      <c r="I125" s="11">
        <v>2999</v>
      </c>
      <c r="J125" s="11">
        <v>2003</v>
      </c>
      <c r="K125" s="11">
        <f t="shared" si="5"/>
        <v>8997</v>
      </c>
      <c r="L125" s="11">
        <f t="shared" si="6"/>
        <v>6009</v>
      </c>
      <c r="M125" s="11">
        <f t="shared" si="7"/>
        <v>2988</v>
      </c>
    </row>
    <row r="126" spans="1:13" x14ac:dyDescent="0.35">
      <c r="A126" s="9" t="s">
        <v>209</v>
      </c>
      <c r="B126" s="10">
        <v>46123</v>
      </c>
      <c r="C126" s="9" t="str">
        <f t="shared" si="4"/>
        <v>Apr</v>
      </c>
      <c r="D126" s="9" t="s">
        <v>24</v>
      </c>
      <c r="E126" s="9" t="s">
        <v>29</v>
      </c>
      <c r="F126" s="9" t="s">
        <v>54</v>
      </c>
      <c r="G126" s="9" t="s">
        <v>62</v>
      </c>
      <c r="H126" s="9">
        <v>3</v>
      </c>
      <c r="I126" s="11">
        <v>3499</v>
      </c>
      <c r="J126" s="11">
        <v>1985</v>
      </c>
      <c r="K126" s="11">
        <f t="shared" si="5"/>
        <v>10497</v>
      </c>
      <c r="L126" s="11">
        <f t="shared" si="6"/>
        <v>5955</v>
      </c>
      <c r="M126" s="11">
        <f t="shared" si="7"/>
        <v>4542</v>
      </c>
    </row>
    <row r="127" spans="1:13" x14ac:dyDescent="0.35">
      <c r="A127" s="9" t="s">
        <v>210</v>
      </c>
      <c r="B127" s="10">
        <v>46125</v>
      </c>
      <c r="C127" s="9" t="str">
        <f t="shared" si="4"/>
        <v>Apr</v>
      </c>
      <c r="D127" s="9" t="s">
        <v>19</v>
      </c>
      <c r="E127" s="9" t="s">
        <v>29</v>
      </c>
      <c r="F127" s="9" t="s">
        <v>30</v>
      </c>
      <c r="G127" s="9" t="s">
        <v>52</v>
      </c>
      <c r="H127" s="9">
        <v>2</v>
      </c>
      <c r="I127" s="11">
        <v>1499</v>
      </c>
      <c r="J127" s="11">
        <v>898</v>
      </c>
      <c r="K127" s="11">
        <f t="shared" si="5"/>
        <v>2998</v>
      </c>
      <c r="L127" s="11">
        <f t="shared" si="6"/>
        <v>1796</v>
      </c>
      <c r="M127" s="11">
        <f t="shared" si="7"/>
        <v>1202</v>
      </c>
    </row>
    <row r="128" spans="1:13" x14ac:dyDescent="0.35">
      <c r="A128" s="9" t="s">
        <v>211</v>
      </c>
      <c r="B128" s="10">
        <v>46126</v>
      </c>
      <c r="C128" s="9" t="str">
        <f t="shared" si="4"/>
        <v>Apr</v>
      </c>
      <c r="D128" s="9" t="s">
        <v>24</v>
      </c>
      <c r="E128" s="9" t="s">
        <v>25</v>
      </c>
      <c r="F128" s="9" t="s">
        <v>26</v>
      </c>
      <c r="G128" s="9" t="s">
        <v>101</v>
      </c>
      <c r="H128" s="9">
        <v>2</v>
      </c>
      <c r="I128" s="11">
        <v>1999</v>
      </c>
      <c r="J128" s="11">
        <v>1211</v>
      </c>
      <c r="K128" s="11">
        <f t="shared" si="5"/>
        <v>3998</v>
      </c>
      <c r="L128" s="11">
        <f t="shared" si="6"/>
        <v>2422</v>
      </c>
      <c r="M128" s="11">
        <f t="shared" si="7"/>
        <v>1576</v>
      </c>
    </row>
    <row r="129" spans="1:13" x14ac:dyDescent="0.35">
      <c r="A129" s="9" t="s">
        <v>212</v>
      </c>
      <c r="B129" s="10">
        <v>46126</v>
      </c>
      <c r="C129" s="9" t="str">
        <f t="shared" si="4"/>
        <v>Apr</v>
      </c>
      <c r="D129" s="9" t="s">
        <v>19</v>
      </c>
      <c r="E129" s="9" t="s">
        <v>40</v>
      </c>
      <c r="F129" s="9" t="s">
        <v>41</v>
      </c>
      <c r="G129" s="9" t="s">
        <v>85</v>
      </c>
      <c r="H129" s="9">
        <v>2</v>
      </c>
      <c r="I129" s="11">
        <v>3499</v>
      </c>
      <c r="J129" s="11">
        <v>2346</v>
      </c>
      <c r="K129" s="11">
        <f t="shared" si="5"/>
        <v>6998</v>
      </c>
      <c r="L129" s="11">
        <f t="shared" si="6"/>
        <v>4692</v>
      </c>
      <c r="M129" s="11">
        <f t="shared" si="7"/>
        <v>2306</v>
      </c>
    </row>
    <row r="130" spans="1:13" x14ac:dyDescent="0.35">
      <c r="A130" s="9" t="s">
        <v>213</v>
      </c>
      <c r="B130" s="10">
        <v>46126</v>
      </c>
      <c r="C130" s="9" t="str">
        <f t="shared" ref="C130:C193" si="8">TEXT(B130,"mmm")</f>
        <v>Apr</v>
      </c>
      <c r="D130" s="9" t="s">
        <v>19</v>
      </c>
      <c r="E130" s="9" t="s">
        <v>25</v>
      </c>
      <c r="F130" s="9" t="s">
        <v>37</v>
      </c>
      <c r="G130" s="9" t="s">
        <v>94</v>
      </c>
      <c r="H130" s="9">
        <v>2</v>
      </c>
      <c r="I130" s="11">
        <v>499</v>
      </c>
      <c r="J130" s="11">
        <v>350</v>
      </c>
      <c r="K130" s="11">
        <f t="shared" ref="K130:K193" si="9">H130*I130</f>
        <v>998</v>
      </c>
      <c r="L130" s="11">
        <f t="shared" ref="L130:L193" si="10">H130*J130</f>
        <v>700</v>
      </c>
      <c r="M130" s="11">
        <f t="shared" ref="M130:M193" si="11">K130-L130</f>
        <v>298</v>
      </c>
    </row>
    <row r="131" spans="1:13" x14ac:dyDescent="0.35">
      <c r="A131" s="9" t="s">
        <v>214</v>
      </c>
      <c r="B131" s="10">
        <v>46127</v>
      </c>
      <c r="C131" s="9" t="str">
        <f t="shared" si="8"/>
        <v>Apr</v>
      </c>
      <c r="D131" s="9" t="s">
        <v>19</v>
      </c>
      <c r="E131" s="9" t="s">
        <v>40</v>
      </c>
      <c r="F131" s="9" t="s">
        <v>41</v>
      </c>
      <c r="G131" s="9" t="s">
        <v>31</v>
      </c>
      <c r="H131" s="9">
        <v>2</v>
      </c>
      <c r="I131" s="11">
        <v>3499</v>
      </c>
      <c r="J131" s="11">
        <v>2346</v>
      </c>
      <c r="K131" s="11">
        <f t="shared" si="9"/>
        <v>6998</v>
      </c>
      <c r="L131" s="11">
        <f t="shared" si="10"/>
        <v>4692</v>
      </c>
      <c r="M131" s="11">
        <f t="shared" si="11"/>
        <v>2306</v>
      </c>
    </row>
    <row r="132" spans="1:13" x14ac:dyDescent="0.35">
      <c r="A132" s="9" t="s">
        <v>215</v>
      </c>
      <c r="B132" s="10">
        <v>46128</v>
      </c>
      <c r="C132" s="9" t="str">
        <f t="shared" si="8"/>
        <v>Apr</v>
      </c>
      <c r="D132" s="9" t="s">
        <v>19</v>
      </c>
      <c r="E132" s="9" t="s">
        <v>29</v>
      </c>
      <c r="F132" s="9" t="s">
        <v>58</v>
      </c>
      <c r="G132" s="9" t="s">
        <v>121</v>
      </c>
      <c r="H132" s="9">
        <v>2</v>
      </c>
      <c r="I132" s="11">
        <v>999</v>
      </c>
      <c r="J132" s="11">
        <v>697</v>
      </c>
      <c r="K132" s="11">
        <f t="shared" si="9"/>
        <v>1998</v>
      </c>
      <c r="L132" s="11">
        <f t="shared" si="10"/>
        <v>1394</v>
      </c>
      <c r="M132" s="11">
        <f t="shared" si="11"/>
        <v>604</v>
      </c>
    </row>
    <row r="133" spans="1:13" x14ac:dyDescent="0.35">
      <c r="A133" s="9" t="s">
        <v>216</v>
      </c>
      <c r="B133" s="10">
        <v>46128</v>
      </c>
      <c r="C133" s="9" t="str">
        <f t="shared" si="8"/>
        <v>Apr</v>
      </c>
      <c r="D133" s="9" t="s">
        <v>68</v>
      </c>
      <c r="E133" s="9" t="s">
        <v>25</v>
      </c>
      <c r="F133" s="9" t="s">
        <v>26</v>
      </c>
      <c r="G133" s="9" t="s">
        <v>27</v>
      </c>
      <c r="H133" s="9">
        <v>2</v>
      </c>
      <c r="I133" s="11">
        <v>1999</v>
      </c>
      <c r="J133" s="11">
        <v>1211</v>
      </c>
      <c r="K133" s="11">
        <f t="shared" si="9"/>
        <v>3998</v>
      </c>
      <c r="L133" s="11">
        <f t="shared" si="10"/>
        <v>2422</v>
      </c>
      <c r="M133" s="11">
        <f t="shared" si="11"/>
        <v>1576</v>
      </c>
    </row>
    <row r="134" spans="1:13" x14ac:dyDescent="0.35">
      <c r="A134" s="9" t="s">
        <v>217</v>
      </c>
      <c r="B134" s="10">
        <v>46129</v>
      </c>
      <c r="C134" s="9" t="str">
        <f t="shared" si="8"/>
        <v>Apr</v>
      </c>
      <c r="D134" s="9" t="s">
        <v>19</v>
      </c>
      <c r="E134" s="9" t="s">
        <v>40</v>
      </c>
      <c r="F134" s="9" t="s">
        <v>113</v>
      </c>
      <c r="G134" s="9" t="s">
        <v>125</v>
      </c>
      <c r="H134" s="9">
        <v>1</v>
      </c>
      <c r="I134" s="11">
        <v>2499</v>
      </c>
      <c r="J134" s="11">
        <v>1390</v>
      </c>
      <c r="K134" s="11">
        <f t="shared" si="9"/>
        <v>2499</v>
      </c>
      <c r="L134" s="11">
        <f t="shared" si="10"/>
        <v>1390</v>
      </c>
      <c r="M134" s="11">
        <f t="shared" si="11"/>
        <v>1109</v>
      </c>
    </row>
    <row r="135" spans="1:13" x14ac:dyDescent="0.35">
      <c r="A135" s="9" t="s">
        <v>218</v>
      </c>
      <c r="B135" s="10">
        <v>46129</v>
      </c>
      <c r="C135" s="9" t="str">
        <f t="shared" si="8"/>
        <v>Apr</v>
      </c>
      <c r="D135" s="9" t="s">
        <v>68</v>
      </c>
      <c r="E135" s="9" t="s">
        <v>40</v>
      </c>
      <c r="F135" s="9" t="s">
        <v>113</v>
      </c>
      <c r="G135" s="9" t="s">
        <v>125</v>
      </c>
      <c r="H135" s="9">
        <v>2</v>
      </c>
      <c r="I135" s="11">
        <v>2499</v>
      </c>
      <c r="J135" s="11">
        <v>1390</v>
      </c>
      <c r="K135" s="11">
        <f t="shared" si="9"/>
        <v>4998</v>
      </c>
      <c r="L135" s="11">
        <f t="shared" si="10"/>
        <v>2780</v>
      </c>
      <c r="M135" s="11">
        <f t="shared" si="11"/>
        <v>2218</v>
      </c>
    </row>
    <row r="136" spans="1:13" x14ac:dyDescent="0.35">
      <c r="A136" s="9" t="s">
        <v>219</v>
      </c>
      <c r="B136" s="10">
        <v>46129</v>
      </c>
      <c r="C136" s="9" t="str">
        <f t="shared" si="8"/>
        <v>Apr</v>
      </c>
      <c r="D136" s="9" t="s">
        <v>68</v>
      </c>
      <c r="E136" s="9" t="s">
        <v>46</v>
      </c>
      <c r="F136" s="9" t="s">
        <v>47</v>
      </c>
      <c r="G136" s="9" t="s">
        <v>92</v>
      </c>
      <c r="H136" s="9">
        <v>1</v>
      </c>
      <c r="I136" s="11">
        <v>2999</v>
      </c>
      <c r="J136" s="11">
        <v>2003</v>
      </c>
      <c r="K136" s="11">
        <f t="shared" si="9"/>
        <v>2999</v>
      </c>
      <c r="L136" s="11">
        <f t="shared" si="10"/>
        <v>2003</v>
      </c>
      <c r="M136" s="11">
        <f t="shared" si="11"/>
        <v>996</v>
      </c>
    </row>
    <row r="137" spans="1:13" x14ac:dyDescent="0.35">
      <c r="A137" s="9" t="s">
        <v>220</v>
      </c>
      <c r="B137" s="10">
        <v>46130</v>
      </c>
      <c r="C137" s="9" t="str">
        <f t="shared" si="8"/>
        <v>Apr</v>
      </c>
      <c r="D137" s="9" t="s">
        <v>68</v>
      </c>
      <c r="E137" s="9" t="s">
        <v>29</v>
      </c>
      <c r="F137" s="9" t="s">
        <v>58</v>
      </c>
      <c r="G137" s="9" t="s">
        <v>44</v>
      </c>
      <c r="H137" s="9">
        <v>1</v>
      </c>
      <c r="I137" s="11">
        <v>999</v>
      </c>
      <c r="J137" s="11">
        <v>697</v>
      </c>
      <c r="K137" s="11">
        <f t="shared" si="9"/>
        <v>999</v>
      </c>
      <c r="L137" s="11">
        <f t="shared" si="10"/>
        <v>697</v>
      </c>
      <c r="M137" s="11">
        <f t="shared" si="11"/>
        <v>302</v>
      </c>
    </row>
    <row r="138" spans="1:13" x14ac:dyDescent="0.35">
      <c r="A138" s="9" t="s">
        <v>221</v>
      </c>
      <c r="B138" s="10">
        <v>46130</v>
      </c>
      <c r="C138" s="9" t="str">
        <f t="shared" si="8"/>
        <v>Apr</v>
      </c>
      <c r="D138" s="9" t="s">
        <v>19</v>
      </c>
      <c r="E138" s="9" t="s">
        <v>25</v>
      </c>
      <c r="F138" s="9" t="s">
        <v>26</v>
      </c>
      <c r="G138" s="9" t="s">
        <v>92</v>
      </c>
      <c r="H138" s="9">
        <v>1</v>
      </c>
      <c r="I138" s="11">
        <v>1999</v>
      </c>
      <c r="J138" s="11">
        <v>1211</v>
      </c>
      <c r="K138" s="11">
        <f t="shared" si="9"/>
        <v>1999</v>
      </c>
      <c r="L138" s="11">
        <f t="shared" si="10"/>
        <v>1211</v>
      </c>
      <c r="M138" s="11">
        <f t="shared" si="11"/>
        <v>788</v>
      </c>
    </row>
    <row r="139" spans="1:13" x14ac:dyDescent="0.35">
      <c r="A139" s="9" t="s">
        <v>222</v>
      </c>
      <c r="B139" s="10">
        <v>46132</v>
      </c>
      <c r="C139" s="9" t="str">
        <f t="shared" si="8"/>
        <v>Apr</v>
      </c>
      <c r="D139" s="9" t="s">
        <v>24</v>
      </c>
      <c r="E139" s="9" t="s">
        <v>46</v>
      </c>
      <c r="F139" s="9" t="s">
        <v>51</v>
      </c>
      <c r="G139" s="9" t="s">
        <v>185</v>
      </c>
      <c r="H139" s="9">
        <v>1</v>
      </c>
      <c r="I139" s="11">
        <v>3499</v>
      </c>
      <c r="J139" s="11">
        <v>2218</v>
      </c>
      <c r="K139" s="11">
        <f t="shared" si="9"/>
        <v>3499</v>
      </c>
      <c r="L139" s="11">
        <f t="shared" si="10"/>
        <v>2218</v>
      </c>
      <c r="M139" s="11">
        <f t="shared" si="11"/>
        <v>1281</v>
      </c>
    </row>
    <row r="140" spans="1:13" x14ac:dyDescent="0.35">
      <c r="A140" s="9" t="s">
        <v>223</v>
      </c>
      <c r="B140" s="10">
        <v>46132</v>
      </c>
      <c r="C140" s="9" t="str">
        <f t="shared" si="8"/>
        <v>Apr</v>
      </c>
      <c r="D140" s="9" t="s">
        <v>36</v>
      </c>
      <c r="E140" s="9" t="s">
        <v>29</v>
      </c>
      <c r="F140" s="9" t="s">
        <v>30</v>
      </c>
      <c r="G140" s="9" t="s">
        <v>193</v>
      </c>
      <c r="H140" s="9">
        <v>2</v>
      </c>
      <c r="I140" s="11">
        <v>1499</v>
      </c>
      <c r="J140" s="11">
        <v>898</v>
      </c>
      <c r="K140" s="11">
        <f t="shared" si="9"/>
        <v>2998</v>
      </c>
      <c r="L140" s="11">
        <f t="shared" si="10"/>
        <v>1796</v>
      </c>
      <c r="M140" s="11">
        <f t="shared" si="11"/>
        <v>1202</v>
      </c>
    </row>
    <row r="141" spans="1:13" x14ac:dyDescent="0.35">
      <c r="A141" s="9" t="s">
        <v>224</v>
      </c>
      <c r="B141" s="10">
        <v>46133</v>
      </c>
      <c r="C141" s="9" t="str">
        <f t="shared" si="8"/>
        <v>Apr</v>
      </c>
      <c r="D141" s="9" t="s">
        <v>68</v>
      </c>
      <c r="E141" s="9" t="s">
        <v>25</v>
      </c>
      <c r="F141" s="9" t="s">
        <v>61</v>
      </c>
      <c r="G141" s="9" t="s">
        <v>73</v>
      </c>
      <c r="H141" s="9">
        <v>3</v>
      </c>
      <c r="I141" s="11">
        <v>999</v>
      </c>
      <c r="J141" s="11">
        <v>689</v>
      </c>
      <c r="K141" s="11">
        <f t="shared" si="9"/>
        <v>2997</v>
      </c>
      <c r="L141" s="11">
        <f t="shared" si="10"/>
        <v>2067</v>
      </c>
      <c r="M141" s="11">
        <f t="shared" si="11"/>
        <v>930</v>
      </c>
    </row>
    <row r="142" spans="1:13" x14ac:dyDescent="0.35">
      <c r="A142" s="9" t="s">
        <v>225</v>
      </c>
      <c r="B142" s="10">
        <v>46134</v>
      </c>
      <c r="C142" s="9" t="str">
        <f t="shared" si="8"/>
        <v>Apr</v>
      </c>
      <c r="D142" s="9" t="s">
        <v>19</v>
      </c>
      <c r="E142" s="9" t="s">
        <v>29</v>
      </c>
      <c r="F142" s="9" t="s">
        <v>30</v>
      </c>
      <c r="G142" s="9" t="s">
        <v>152</v>
      </c>
      <c r="H142" s="9">
        <v>2</v>
      </c>
      <c r="I142" s="11">
        <v>1499</v>
      </c>
      <c r="J142" s="11">
        <v>898</v>
      </c>
      <c r="K142" s="11">
        <f t="shared" si="9"/>
        <v>2998</v>
      </c>
      <c r="L142" s="11">
        <f t="shared" si="10"/>
        <v>1796</v>
      </c>
      <c r="M142" s="11">
        <f t="shared" si="11"/>
        <v>1202</v>
      </c>
    </row>
    <row r="143" spans="1:13" x14ac:dyDescent="0.35">
      <c r="A143" s="9" t="s">
        <v>226</v>
      </c>
      <c r="B143" s="10">
        <v>46135</v>
      </c>
      <c r="C143" s="9" t="str">
        <f t="shared" si="8"/>
        <v>Apr</v>
      </c>
      <c r="D143" s="9" t="s">
        <v>19</v>
      </c>
      <c r="E143" s="9" t="s">
        <v>25</v>
      </c>
      <c r="F143" s="9" t="s">
        <v>37</v>
      </c>
      <c r="G143" s="9" t="s">
        <v>99</v>
      </c>
      <c r="H143" s="9">
        <v>2</v>
      </c>
      <c r="I143" s="11">
        <v>499</v>
      </c>
      <c r="J143" s="11">
        <v>350</v>
      </c>
      <c r="K143" s="11">
        <f t="shared" si="9"/>
        <v>998</v>
      </c>
      <c r="L143" s="11">
        <f t="shared" si="10"/>
        <v>700</v>
      </c>
      <c r="M143" s="11">
        <f t="shared" si="11"/>
        <v>298</v>
      </c>
    </row>
    <row r="144" spans="1:13" x14ac:dyDescent="0.35">
      <c r="A144" s="9" t="s">
        <v>227</v>
      </c>
      <c r="B144" s="10">
        <v>46135</v>
      </c>
      <c r="C144" s="9" t="str">
        <f t="shared" si="8"/>
        <v>Apr</v>
      </c>
      <c r="D144" s="9" t="s">
        <v>19</v>
      </c>
      <c r="E144" s="9" t="s">
        <v>46</v>
      </c>
      <c r="F144" s="9" t="s">
        <v>51</v>
      </c>
      <c r="G144" s="9" t="s">
        <v>228</v>
      </c>
      <c r="H144" s="9">
        <v>3</v>
      </c>
      <c r="I144" s="11">
        <v>3499</v>
      </c>
      <c r="J144" s="11">
        <v>2218</v>
      </c>
      <c r="K144" s="11">
        <f t="shared" si="9"/>
        <v>10497</v>
      </c>
      <c r="L144" s="11">
        <f t="shared" si="10"/>
        <v>6654</v>
      </c>
      <c r="M144" s="11">
        <f t="shared" si="11"/>
        <v>3843</v>
      </c>
    </row>
    <row r="145" spans="1:13" x14ac:dyDescent="0.35">
      <c r="A145" s="9" t="s">
        <v>229</v>
      </c>
      <c r="B145" s="10">
        <v>46136</v>
      </c>
      <c r="C145" s="9" t="str">
        <f t="shared" si="8"/>
        <v>Apr</v>
      </c>
      <c r="D145" s="9" t="s">
        <v>68</v>
      </c>
      <c r="E145" s="9" t="s">
        <v>25</v>
      </c>
      <c r="F145" s="9" t="s">
        <v>61</v>
      </c>
      <c r="G145" s="9" t="s">
        <v>137</v>
      </c>
      <c r="H145" s="9">
        <v>1</v>
      </c>
      <c r="I145" s="11">
        <v>999</v>
      </c>
      <c r="J145" s="11">
        <v>689</v>
      </c>
      <c r="K145" s="11">
        <f t="shared" si="9"/>
        <v>999</v>
      </c>
      <c r="L145" s="11">
        <f t="shared" si="10"/>
        <v>689</v>
      </c>
      <c r="M145" s="11">
        <f t="shared" si="11"/>
        <v>310</v>
      </c>
    </row>
    <row r="146" spans="1:13" x14ac:dyDescent="0.35">
      <c r="A146" s="9" t="s">
        <v>230</v>
      </c>
      <c r="B146" s="10">
        <v>46136</v>
      </c>
      <c r="C146" s="9" t="str">
        <f t="shared" si="8"/>
        <v>Apr</v>
      </c>
      <c r="D146" s="9" t="s">
        <v>36</v>
      </c>
      <c r="E146" s="9" t="s">
        <v>40</v>
      </c>
      <c r="F146" s="9" t="s">
        <v>113</v>
      </c>
      <c r="G146" s="9" t="s">
        <v>140</v>
      </c>
      <c r="H146" s="9">
        <v>3</v>
      </c>
      <c r="I146" s="11">
        <v>2499</v>
      </c>
      <c r="J146" s="11">
        <v>1390</v>
      </c>
      <c r="K146" s="11">
        <f t="shared" si="9"/>
        <v>7497</v>
      </c>
      <c r="L146" s="11">
        <f t="shared" si="10"/>
        <v>4170</v>
      </c>
      <c r="M146" s="11">
        <f t="shared" si="11"/>
        <v>3327</v>
      </c>
    </row>
    <row r="147" spans="1:13" x14ac:dyDescent="0.35">
      <c r="A147" s="9" t="s">
        <v>231</v>
      </c>
      <c r="B147" s="10">
        <v>46137</v>
      </c>
      <c r="C147" s="9" t="str">
        <f t="shared" si="8"/>
        <v>Apr</v>
      </c>
      <c r="D147" s="9" t="s">
        <v>36</v>
      </c>
      <c r="E147" s="9" t="s">
        <v>25</v>
      </c>
      <c r="F147" s="9" t="s">
        <v>61</v>
      </c>
      <c r="G147" s="9" t="s">
        <v>104</v>
      </c>
      <c r="H147" s="9">
        <v>1</v>
      </c>
      <c r="I147" s="11">
        <v>999</v>
      </c>
      <c r="J147" s="11">
        <v>689</v>
      </c>
      <c r="K147" s="11">
        <f t="shared" si="9"/>
        <v>999</v>
      </c>
      <c r="L147" s="11">
        <f t="shared" si="10"/>
        <v>689</v>
      </c>
      <c r="M147" s="11">
        <f t="shared" si="11"/>
        <v>310</v>
      </c>
    </row>
    <row r="148" spans="1:13" x14ac:dyDescent="0.35">
      <c r="A148" s="9" t="s">
        <v>232</v>
      </c>
      <c r="B148" s="10">
        <v>46139</v>
      </c>
      <c r="C148" s="9" t="str">
        <f t="shared" si="8"/>
        <v>Apr</v>
      </c>
      <c r="D148" s="9" t="s">
        <v>19</v>
      </c>
      <c r="E148" s="9" t="s">
        <v>25</v>
      </c>
      <c r="F148" s="9" t="s">
        <v>61</v>
      </c>
      <c r="G148" s="9" t="s">
        <v>177</v>
      </c>
      <c r="H148" s="9">
        <v>1</v>
      </c>
      <c r="I148" s="11">
        <v>999</v>
      </c>
      <c r="J148" s="11">
        <v>689</v>
      </c>
      <c r="K148" s="11">
        <f t="shared" si="9"/>
        <v>999</v>
      </c>
      <c r="L148" s="11">
        <f t="shared" si="10"/>
        <v>689</v>
      </c>
      <c r="M148" s="11">
        <f t="shared" si="11"/>
        <v>310</v>
      </c>
    </row>
    <row r="149" spans="1:13" x14ac:dyDescent="0.35">
      <c r="A149" s="9" t="s">
        <v>233</v>
      </c>
      <c r="B149" s="10">
        <v>46139</v>
      </c>
      <c r="C149" s="9" t="str">
        <f t="shared" si="8"/>
        <v>Apr</v>
      </c>
      <c r="D149" s="9" t="s">
        <v>36</v>
      </c>
      <c r="E149" s="9" t="s">
        <v>40</v>
      </c>
      <c r="F149" s="9" t="s">
        <v>113</v>
      </c>
      <c r="G149" s="9" t="s">
        <v>142</v>
      </c>
      <c r="H149" s="9">
        <v>1</v>
      </c>
      <c r="I149" s="11">
        <v>2499</v>
      </c>
      <c r="J149" s="11">
        <v>1390</v>
      </c>
      <c r="K149" s="11">
        <f t="shared" si="9"/>
        <v>2499</v>
      </c>
      <c r="L149" s="11">
        <f t="shared" si="10"/>
        <v>1390</v>
      </c>
      <c r="M149" s="11">
        <f t="shared" si="11"/>
        <v>1109</v>
      </c>
    </row>
    <row r="150" spans="1:13" x14ac:dyDescent="0.35">
      <c r="A150" s="9" t="s">
        <v>234</v>
      </c>
      <c r="B150" s="10">
        <v>46140</v>
      </c>
      <c r="C150" s="9" t="str">
        <f t="shared" si="8"/>
        <v>Apr</v>
      </c>
      <c r="D150" s="9" t="s">
        <v>19</v>
      </c>
      <c r="E150" s="9" t="s">
        <v>29</v>
      </c>
      <c r="F150" s="9" t="s">
        <v>58</v>
      </c>
      <c r="G150" s="9" t="s">
        <v>96</v>
      </c>
      <c r="H150" s="9">
        <v>1</v>
      </c>
      <c r="I150" s="11">
        <v>999</v>
      </c>
      <c r="J150" s="11">
        <v>697</v>
      </c>
      <c r="K150" s="11">
        <f t="shared" si="9"/>
        <v>999</v>
      </c>
      <c r="L150" s="11">
        <f t="shared" si="10"/>
        <v>697</v>
      </c>
      <c r="M150" s="11">
        <f t="shared" si="11"/>
        <v>302</v>
      </c>
    </row>
    <row r="151" spans="1:13" x14ac:dyDescent="0.35">
      <c r="A151" s="9" t="s">
        <v>235</v>
      </c>
      <c r="B151" s="10">
        <v>46140</v>
      </c>
      <c r="C151" s="9" t="str">
        <f t="shared" si="8"/>
        <v>Apr</v>
      </c>
      <c r="D151" s="9" t="s">
        <v>19</v>
      </c>
      <c r="E151" s="9" t="s">
        <v>46</v>
      </c>
      <c r="F151" s="9" t="s">
        <v>51</v>
      </c>
      <c r="G151" s="9" t="s">
        <v>165</v>
      </c>
      <c r="H151" s="9">
        <v>1</v>
      </c>
      <c r="I151" s="11">
        <v>3499</v>
      </c>
      <c r="J151" s="11">
        <v>2218</v>
      </c>
      <c r="K151" s="11">
        <f t="shared" si="9"/>
        <v>3499</v>
      </c>
      <c r="L151" s="11">
        <f t="shared" si="10"/>
        <v>2218</v>
      </c>
      <c r="M151" s="11">
        <f t="shared" si="11"/>
        <v>1281</v>
      </c>
    </row>
    <row r="152" spans="1:13" x14ac:dyDescent="0.35">
      <c r="A152" s="9" t="s">
        <v>236</v>
      </c>
      <c r="B152" s="10">
        <v>46140</v>
      </c>
      <c r="C152" s="9" t="str">
        <f t="shared" si="8"/>
        <v>Apr</v>
      </c>
      <c r="D152" s="9" t="s">
        <v>68</v>
      </c>
      <c r="E152" s="9" t="s">
        <v>25</v>
      </c>
      <c r="F152" s="9" t="s">
        <v>37</v>
      </c>
      <c r="G152" s="9" t="s">
        <v>177</v>
      </c>
      <c r="H152" s="9">
        <v>1</v>
      </c>
      <c r="I152" s="11">
        <v>499</v>
      </c>
      <c r="J152" s="11">
        <v>350</v>
      </c>
      <c r="K152" s="11">
        <f t="shared" si="9"/>
        <v>499</v>
      </c>
      <c r="L152" s="11">
        <f t="shared" si="10"/>
        <v>350</v>
      </c>
      <c r="M152" s="11">
        <f t="shared" si="11"/>
        <v>149</v>
      </c>
    </row>
    <row r="153" spans="1:13" x14ac:dyDescent="0.35">
      <c r="A153" s="9" t="s">
        <v>237</v>
      </c>
      <c r="B153" s="10">
        <v>46141</v>
      </c>
      <c r="C153" s="9" t="str">
        <f t="shared" si="8"/>
        <v>Apr</v>
      </c>
      <c r="D153" s="9" t="s">
        <v>68</v>
      </c>
      <c r="E153" s="9" t="s">
        <v>46</v>
      </c>
      <c r="F153" s="9" t="s">
        <v>65</v>
      </c>
      <c r="G153" s="9" t="s">
        <v>92</v>
      </c>
      <c r="H153" s="9">
        <v>1</v>
      </c>
      <c r="I153" s="11">
        <v>3499</v>
      </c>
      <c r="J153" s="11">
        <v>2064</v>
      </c>
      <c r="K153" s="11">
        <f t="shared" si="9"/>
        <v>3499</v>
      </c>
      <c r="L153" s="11">
        <f t="shared" si="10"/>
        <v>2064</v>
      </c>
      <c r="M153" s="11">
        <f t="shared" si="11"/>
        <v>1435</v>
      </c>
    </row>
    <row r="154" spans="1:13" x14ac:dyDescent="0.35">
      <c r="A154" s="9" t="s">
        <v>238</v>
      </c>
      <c r="B154" s="10">
        <v>46141</v>
      </c>
      <c r="C154" s="9" t="str">
        <f t="shared" si="8"/>
        <v>Apr</v>
      </c>
      <c r="D154" s="9" t="s">
        <v>19</v>
      </c>
      <c r="E154" s="9" t="s">
        <v>29</v>
      </c>
      <c r="F154" s="9" t="s">
        <v>75</v>
      </c>
      <c r="G154" s="9" t="s">
        <v>99</v>
      </c>
      <c r="H154" s="9">
        <v>1</v>
      </c>
      <c r="I154" s="11">
        <v>799</v>
      </c>
      <c r="J154" s="11">
        <v>443</v>
      </c>
      <c r="K154" s="11">
        <f t="shared" si="9"/>
        <v>799</v>
      </c>
      <c r="L154" s="11">
        <f t="shared" si="10"/>
        <v>443</v>
      </c>
      <c r="M154" s="11">
        <f t="shared" si="11"/>
        <v>356</v>
      </c>
    </row>
    <row r="155" spans="1:13" x14ac:dyDescent="0.35">
      <c r="A155" s="9" t="s">
        <v>239</v>
      </c>
      <c r="B155" s="10">
        <v>46142</v>
      </c>
      <c r="C155" s="9" t="str">
        <f t="shared" si="8"/>
        <v>Apr</v>
      </c>
      <c r="D155" s="9" t="s">
        <v>24</v>
      </c>
      <c r="E155" s="9" t="s">
        <v>46</v>
      </c>
      <c r="F155" s="9" t="s">
        <v>65</v>
      </c>
      <c r="G155" s="9" t="s">
        <v>34</v>
      </c>
      <c r="H155" s="9">
        <v>3</v>
      </c>
      <c r="I155" s="11">
        <v>3499</v>
      </c>
      <c r="J155" s="11">
        <v>2064</v>
      </c>
      <c r="K155" s="11">
        <f t="shared" si="9"/>
        <v>10497</v>
      </c>
      <c r="L155" s="11">
        <f t="shared" si="10"/>
        <v>6192</v>
      </c>
      <c r="M155" s="11">
        <f t="shared" si="11"/>
        <v>4305</v>
      </c>
    </row>
    <row r="156" spans="1:13" x14ac:dyDescent="0.35">
      <c r="A156" s="9" t="s">
        <v>240</v>
      </c>
      <c r="B156" s="10">
        <v>46142</v>
      </c>
      <c r="C156" s="9" t="str">
        <f t="shared" si="8"/>
        <v>Apr</v>
      </c>
      <c r="D156" s="9" t="s">
        <v>24</v>
      </c>
      <c r="E156" s="9" t="s">
        <v>25</v>
      </c>
      <c r="F156" s="9" t="s">
        <v>37</v>
      </c>
      <c r="G156" s="9" t="s">
        <v>79</v>
      </c>
      <c r="H156" s="9">
        <v>1</v>
      </c>
      <c r="I156" s="11">
        <v>499</v>
      </c>
      <c r="J156" s="11">
        <v>350</v>
      </c>
      <c r="K156" s="11">
        <f t="shared" si="9"/>
        <v>499</v>
      </c>
      <c r="L156" s="11">
        <f t="shared" si="10"/>
        <v>350</v>
      </c>
      <c r="M156" s="11">
        <f t="shared" si="11"/>
        <v>149</v>
      </c>
    </row>
    <row r="157" spans="1:13" x14ac:dyDescent="0.35">
      <c r="A157" s="9" t="s">
        <v>241</v>
      </c>
      <c r="B157" s="10">
        <v>46143</v>
      </c>
      <c r="C157" s="9" t="str">
        <f t="shared" si="8"/>
        <v>May</v>
      </c>
      <c r="D157" s="9" t="s">
        <v>36</v>
      </c>
      <c r="E157" s="9" t="s">
        <v>29</v>
      </c>
      <c r="F157" s="9" t="s">
        <v>30</v>
      </c>
      <c r="G157" s="9" t="s">
        <v>140</v>
      </c>
      <c r="H157" s="9">
        <v>2</v>
      </c>
      <c r="I157" s="11">
        <v>1499</v>
      </c>
      <c r="J157" s="11">
        <v>898</v>
      </c>
      <c r="K157" s="11">
        <f t="shared" si="9"/>
        <v>2998</v>
      </c>
      <c r="L157" s="11">
        <f t="shared" si="10"/>
        <v>1796</v>
      </c>
      <c r="M157" s="11">
        <f t="shared" si="11"/>
        <v>1202</v>
      </c>
    </row>
    <row r="158" spans="1:13" x14ac:dyDescent="0.35">
      <c r="A158" s="9" t="s">
        <v>242</v>
      </c>
      <c r="B158" s="10">
        <v>46143</v>
      </c>
      <c r="C158" s="9" t="str">
        <f t="shared" si="8"/>
        <v>May</v>
      </c>
      <c r="D158" s="9" t="s">
        <v>68</v>
      </c>
      <c r="E158" s="9" t="s">
        <v>25</v>
      </c>
      <c r="F158" s="9" t="s">
        <v>26</v>
      </c>
      <c r="G158" s="9" t="s">
        <v>22</v>
      </c>
      <c r="H158" s="9">
        <v>2</v>
      </c>
      <c r="I158" s="11">
        <v>1999</v>
      </c>
      <c r="J158" s="11">
        <v>1211</v>
      </c>
      <c r="K158" s="11">
        <f t="shared" si="9"/>
        <v>3998</v>
      </c>
      <c r="L158" s="11">
        <f t="shared" si="10"/>
        <v>2422</v>
      </c>
      <c r="M158" s="11">
        <f t="shared" si="11"/>
        <v>1576</v>
      </c>
    </row>
    <row r="159" spans="1:13" x14ac:dyDescent="0.35">
      <c r="A159" s="9" t="s">
        <v>243</v>
      </c>
      <c r="B159" s="10">
        <v>46144</v>
      </c>
      <c r="C159" s="9" t="str">
        <f t="shared" si="8"/>
        <v>May</v>
      </c>
      <c r="D159" s="9" t="s">
        <v>68</v>
      </c>
      <c r="E159" s="9" t="s">
        <v>25</v>
      </c>
      <c r="F159" s="9" t="s">
        <v>26</v>
      </c>
      <c r="G159" s="9" t="s">
        <v>90</v>
      </c>
      <c r="H159" s="9">
        <v>2</v>
      </c>
      <c r="I159" s="11">
        <v>1999</v>
      </c>
      <c r="J159" s="11">
        <v>1211</v>
      </c>
      <c r="K159" s="11">
        <f t="shared" si="9"/>
        <v>3998</v>
      </c>
      <c r="L159" s="11">
        <f t="shared" si="10"/>
        <v>2422</v>
      </c>
      <c r="M159" s="11">
        <f t="shared" si="11"/>
        <v>1576</v>
      </c>
    </row>
    <row r="160" spans="1:13" x14ac:dyDescent="0.35">
      <c r="A160" s="9" t="s">
        <v>244</v>
      </c>
      <c r="B160" s="10">
        <v>46146</v>
      </c>
      <c r="C160" s="9" t="str">
        <f t="shared" si="8"/>
        <v>May</v>
      </c>
      <c r="D160" s="9" t="s">
        <v>19</v>
      </c>
      <c r="E160" s="9" t="s">
        <v>40</v>
      </c>
      <c r="F160" s="9" t="s">
        <v>41</v>
      </c>
      <c r="G160" s="9" t="s">
        <v>34</v>
      </c>
      <c r="H160" s="9">
        <v>2</v>
      </c>
      <c r="I160" s="11">
        <v>3499</v>
      </c>
      <c r="J160" s="11">
        <v>2346</v>
      </c>
      <c r="K160" s="11">
        <f t="shared" si="9"/>
        <v>6998</v>
      </c>
      <c r="L160" s="11">
        <f t="shared" si="10"/>
        <v>4692</v>
      </c>
      <c r="M160" s="11">
        <f t="shared" si="11"/>
        <v>2306</v>
      </c>
    </row>
    <row r="161" spans="1:13" x14ac:dyDescent="0.35">
      <c r="A161" s="9" t="s">
        <v>245</v>
      </c>
      <c r="B161" s="10">
        <v>46146</v>
      </c>
      <c r="C161" s="9" t="str">
        <f t="shared" si="8"/>
        <v>May</v>
      </c>
      <c r="D161" s="9" t="s">
        <v>24</v>
      </c>
      <c r="E161" s="9" t="s">
        <v>29</v>
      </c>
      <c r="F161" s="9" t="s">
        <v>75</v>
      </c>
      <c r="G161" s="9" t="s">
        <v>44</v>
      </c>
      <c r="H161" s="9">
        <v>3</v>
      </c>
      <c r="I161" s="11">
        <v>799</v>
      </c>
      <c r="J161" s="11">
        <v>443</v>
      </c>
      <c r="K161" s="11">
        <f t="shared" si="9"/>
        <v>2397</v>
      </c>
      <c r="L161" s="11">
        <f t="shared" si="10"/>
        <v>1329</v>
      </c>
      <c r="M161" s="11">
        <f t="shared" si="11"/>
        <v>1068</v>
      </c>
    </row>
    <row r="162" spans="1:13" x14ac:dyDescent="0.35">
      <c r="A162" s="9" t="s">
        <v>246</v>
      </c>
      <c r="B162" s="10">
        <v>46146</v>
      </c>
      <c r="C162" s="9" t="str">
        <f t="shared" si="8"/>
        <v>May</v>
      </c>
      <c r="D162" s="9" t="s">
        <v>19</v>
      </c>
      <c r="E162" s="9" t="s">
        <v>29</v>
      </c>
      <c r="F162" s="9" t="s">
        <v>54</v>
      </c>
      <c r="G162" s="9" t="s">
        <v>132</v>
      </c>
      <c r="H162" s="9">
        <v>1</v>
      </c>
      <c r="I162" s="11">
        <v>3499</v>
      </c>
      <c r="J162" s="11">
        <v>1985</v>
      </c>
      <c r="K162" s="11">
        <f t="shared" si="9"/>
        <v>3499</v>
      </c>
      <c r="L162" s="11">
        <f t="shared" si="10"/>
        <v>1985</v>
      </c>
      <c r="M162" s="11">
        <f t="shared" si="11"/>
        <v>1514</v>
      </c>
    </row>
    <row r="163" spans="1:13" x14ac:dyDescent="0.35">
      <c r="A163" s="9" t="s">
        <v>247</v>
      </c>
      <c r="B163" s="10">
        <v>46147</v>
      </c>
      <c r="C163" s="9" t="str">
        <f t="shared" si="8"/>
        <v>May</v>
      </c>
      <c r="D163" s="9" t="s">
        <v>24</v>
      </c>
      <c r="E163" s="9" t="s">
        <v>46</v>
      </c>
      <c r="F163" s="9" t="s">
        <v>51</v>
      </c>
      <c r="G163" s="9" t="s">
        <v>130</v>
      </c>
      <c r="H163" s="9">
        <v>1</v>
      </c>
      <c r="I163" s="11">
        <v>3499</v>
      </c>
      <c r="J163" s="11">
        <v>2218</v>
      </c>
      <c r="K163" s="11">
        <f t="shared" si="9"/>
        <v>3499</v>
      </c>
      <c r="L163" s="11">
        <f t="shared" si="10"/>
        <v>2218</v>
      </c>
      <c r="M163" s="11">
        <f t="shared" si="11"/>
        <v>1281</v>
      </c>
    </row>
    <row r="164" spans="1:13" x14ac:dyDescent="0.35">
      <c r="A164" s="9" t="s">
        <v>248</v>
      </c>
      <c r="B164" s="10">
        <v>46148</v>
      </c>
      <c r="C164" s="9" t="str">
        <f t="shared" si="8"/>
        <v>May</v>
      </c>
      <c r="D164" s="9" t="s">
        <v>19</v>
      </c>
      <c r="E164" s="9" t="s">
        <v>46</v>
      </c>
      <c r="F164" s="9" t="s">
        <v>65</v>
      </c>
      <c r="G164" s="9" t="s">
        <v>96</v>
      </c>
      <c r="H164" s="9">
        <v>1</v>
      </c>
      <c r="I164" s="11">
        <v>3499</v>
      </c>
      <c r="J164" s="11">
        <v>2064</v>
      </c>
      <c r="K164" s="11">
        <f t="shared" si="9"/>
        <v>3499</v>
      </c>
      <c r="L164" s="11">
        <f t="shared" si="10"/>
        <v>2064</v>
      </c>
      <c r="M164" s="11">
        <f t="shared" si="11"/>
        <v>1435</v>
      </c>
    </row>
    <row r="165" spans="1:13" x14ac:dyDescent="0.35">
      <c r="A165" s="9" t="s">
        <v>249</v>
      </c>
      <c r="B165" s="10">
        <v>46148</v>
      </c>
      <c r="C165" s="9" t="str">
        <f t="shared" si="8"/>
        <v>May</v>
      </c>
      <c r="D165" s="9" t="s">
        <v>19</v>
      </c>
      <c r="E165" s="9" t="s">
        <v>40</v>
      </c>
      <c r="F165" s="9" t="s">
        <v>113</v>
      </c>
      <c r="G165" s="9" t="s">
        <v>165</v>
      </c>
      <c r="H165" s="9">
        <v>2</v>
      </c>
      <c r="I165" s="11">
        <v>2499</v>
      </c>
      <c r="J165" s="11">
        <v>1390</v>
      </c>
      <c r="K165" s="11">
        <f t="shared" si="9"/>
        <v>4998</v>
      </c>
      <c r="L165" s="11">
        <f t="shared" si="10"/>
        <v>2780</v>
      </c>
      <c r="M165" s="11">
        <f t="shared" si="11"/>
        <v>2218</v>
      </c>
    </row>
    <row r="166" spans="1:13" x14ac:dyDescent="0.35">
      <c r="A166" s="9" t="s">
        <v>250</v>
      </c>
      <c r="B166" s="10">
        <v>46148</v>
      </c>
      <c r="C166" s="9" t="str">
        <f t="shared" si="8"/>
        <v>May</v>
      </c>
      <c r="D166" s="9" t="s">
        <v>36</v>
      </c>
      <c r="E166" s="9" t="s">
        <v>29</v>
      </c>
      <c r="F166" s="9" t="s">
        <v>30</v>
      </c>
      <c r="G166" s="9" t="s">
        <v>123</v>
      </c>
      <c r="H166" s="9">
        <v>3</v>
      </c>
      <c r="I166" s="11">
        <v>1499</v>
      </c>
      <c r="J166" s="11">
        <v>898</v>
      </c>
      <c r="K166" s="11">
        <f t="shared" si="9"/>
        <v>4497</v>
      </c>
      <c r="L166" s="11">
        <f t="shared" si="10"/>
        <v>2694</v>
      </c>
      <c r="M166" s="11">
        <f t="shared" si="11"/>
        <v>1803</v>
      </c>
    </row>
    <row r="167" spans="1:13" x14ac:dyDescent="0.35">
      <c r="A167" s="9" t="s">
        <v>251</v>
      </c>
      <c r="B167" s="10">
        <v>46149</v>
      </c>
      <c r="C167" s="9" t="str">
        <f t="shared" si="8"/>
        <v>May</v>
      </c>
      <c r="D167" s="9" t="s">
        <v>24</v>
      </c>
      <c r="E167" s="9" t="s">
        <v>40</v>
      </c>
      <c r="F167" s="9" t="s">
        <v>41</v>
      </c>
      <c r="G167" s="9" t="s">
        <v>48</v>
      </c>
      <c r="H167" s="9">
        <v>1</v>
      </c>
      <c r="I167" s="11">
        <v>3499</v>
      </c>
      <c r="J167" s="11">
        <v>2346</v>
      </c>
      <c r="K167" s="11">
        <f t="shared" si="9"/>
        <v>3499</v>
      </c>
      <c r="L167" s="11">
        <f t="shared" si="10"/>
        <v>2346</v>
      </c>
      <c r="M167" s="11">
        <f t="shared" si="11"/>
        <v>1153</v>
      </c>
    </row>
    <row r="168" spans="1:13" x14ac:dyDescent="0.35">
      <c r="A168" s="9" t="s">
        <v>252</v>
      </c>
      <c r="B168" s="10">
        <v>46150</v>
      </c>
      <c r="C168" s="9" t="str">
        <f t="shared" si="8"/>
        <v>May</v>
      </c>
      <c r="D168" s="9" t="s">
        <v>36</v>
      </c>
      <c r="E168" s="9" t="s">
        <v>20</v>
      </c>
      <c r="F168" s="9" t="s">
        <v>21</v>
      </c>
      <c r="G168" s="9" t="s">
        <v>85</v>
      </c>
      <c r="H168" s="9">
        <v>1</v>
      </c>
      <c r="I168" s="11">
        <v>1299</v>
      </c>
      <c r="J168" s="11">
        <v>963</v>
      </c>
      <c r="K168" s="11">
        <f t="shared" si="9"/>
        <v>1299</v>
      </c>
      <c r="L168" s="11">
        <f t="shared" si="10"/>
        <v>963</v>
      </c>
      <c r="M168" s="11">
        <f t="shared" si="11"/>
        <v>336</v>
      </c>
    </row>
    <row r="169" spans="1:13" x14ac:dyDescent="0.35">
      <c r="A169" s="9" t="s">
        <v>253</v>
      </c>
      <c r="B169" s="10">
        <v>46150</v>
      </c>
      <c r="C169" s="9" t="str">
        <f t="shared" si="8"/>
        <v>May</v>
      </c>
      <c r="D169" s="9" t="s">
        <v>19</v>
      </c>
      <c r="E169" s="9" t="s">
        <v>29</v>
      </c>
      <c r="F169" s="9" t="s">
        <v>58</v>
      </c>
      <c r="G169" s="9" t="s">
        <v>22</v>
      </c>
      <c r="H169" s="9">
        <v>3</v>
      </c>
      <c r="I169" s="11">
        <v>999</v>
      </c>
      <c r="J169" s="11">
        <v>697</v>
      </c>
      <c r="K169" s="11">
        <f t="shared" si="9"/>
        <v>2997</v>
      </c>
      <c r="L169" s="11">
        <f t="shared" si="10"/>
        <v>2091</v>
      </c>
      <c r="M169" s="11">
        <f t="shared" si="11"/>
        <v>906</v>
      </c>
    </row>
    <row r="170" spans="1:13" x14ac:dyDescent="0.35">
      <c r="A170" s="9" t="s">
        <v>254</v>
      </c>
      <c r="B170" s="10">
        <v>46151</v>
      </c>
      <c r="C170" s="9" t="str">
        <f t="shared" si="8"/>
        <v>May</v>
      </c>
      <c r="D170" s="9" t="s">
        <v>24</v>
      </c>
      <c r="E170" s="9" t="s">
        <v>46</v>
      </c>
      <c r="F170" s="9" t="s">
        <v>65</v>
      </c>
      <c r="G170" s="9" t="s">
        <v>27</v>
      </c>
      <c r="H170" s="9">
        <v>3</v>
      </c>
      <c r="I170" s="11">
        <v>3499</v>
      </c>
      <c r="J170" s="11">
        <v>2064</v>
      </c>
      <c r="K170" s="11">
        <f t="shared" si="9"/>
        <v>10497</v>
      </c>
      <c r="L170" s="11">
        <f t="shared" si="10"/>
        <v>6192</v>
      </c>
      <c r="M170" s="11">
        <f t="shared" si="11"/>
        <v>4305</v>
      </c>
    </row>
    <row r="171" spans="1:13" x14ac:dyDescent="0.35">
      <c r="A171" s="9" t="s">
        <v>255</v>
      </c>
      <c r="B171" s="10">
        <v>46151</v>
      </c>
      <c r="C171" s="9" t="str">
        <f t="shared" si="8"/>
        <v>May</v>
      </c>
      <c r="D171" s="9" t="s">
        <v>68</v>
      </c>
      <c r="E171" s="9" t="s">
        <v>40</v>
      </c>
      <c r="F171" s="9" t="s">
        <v>113</v>
      </c>
      <c r="G171" s="9" t="s">
        <v>137</v>
      </c>
      <c r="H171" s="9">
        <v>2</v>
      </c>
      <c r="I171" s="11">
        <v>2499</v>
      </c>
      <c r="J171" s="11">
        <v>1390</v>
      </c>
      <c r="K171" s="11">
        <f t="shared" si="9"/>
        <v>4998</v>
      </c>
      <c r="L171" s="11">
        <f t="shared" si="10"/>
        <v>2780</v>
      </c>
      <c r="M171" s="11">
        <f t="shared" si="11"/>
        <v>2218</v>
      </c>
    </row>
    <row r="172" spans="1:13" x14ac:dyDescent="0.35">
      <c r="A172" s="9" t="s">
        <v>256</v>
      </c>
      <c r="B172" s="10">
        <v>46153</v>
      </c>
      <c r="C172" s="9" t="str">
        <f t="shared" si="8"/>
        <v>May</v>
      </c>
      <c r="D172" s="9" t="s">
        <v>24</v>
      </c>
      <c r="E172" s="9" t="s">
        <v>29</v>
      </c>
      <c r="F172" s="9" t="s">
        <v>30</v>
      </c>
      <c r="G172" s="9" t="s">
        <v>228</v>
      </c>
      <c r="H172" s="9">
        <v>3</v>
      </c>
      <c r="I172" s="11">
        <v>1499</v>
      </c>
      <c r="J172" s="11">
        <v>898</v>
      </c>
      <c r="K172" s="11">
        <f t="shared" si="9"/>
        <v>4497</v>
      </c>
      <c r="L172" s="11">
        <f t="shared" si="10"/>
        <v>2694</v>
      </c>
      <c r="M172" s="11">
        <f t="shared" si="11"/>
        <v>1803</v>
      </c>
    </row>
    <row r="173" spans="1:13" x14ac:dyDescent="0.35">
      <c r="A173" s="9" t="s">
        <v>257</v>
      </c>
      <c r="B173" s="10">
        <v>46153</v>
      </c>
      <c r="C173" s="9" t="str">
        <f t="shared" si="8"/>
        <v>May</v>
      </c>
      <c r="D173" s="9" t="s">
        <v>19</v>
      </c>
      <c r="E173" s="9" t="s">
        <v>40</v>
      </c>
      <c r="F173" s="9" t="s">
        <v>43</v>
      </c>
      <c r="G173" s="9" t="s">
        <v>258</v>
      </c>
      <c r="H173" s="9">
        <v>1</v>
      </c>
      <c r="I173" s="11">
        <v>799</v>
      </c>
      <c r="J173" s="11">
        <v>474</v>
      </c>
      <c r="K173" s="11">
        <f t="shared" si="9"/>
        <v>799</v>
      </c>
      <c r="L173" s="11">
        <f t="shared" si="10"/>
        <v>474</v>
      </c>
      <c r="M173" s="11">
        <f t="shared" si="11"/>
        <v>325</v>
      </c>
    </row>
    <row r="174" spans="1:13" x14ac:dyDescent="0.35">
      <c r="A174" s="9" t="s">
        <v>259</v>
      </c>
      <c r="B174" s="10">
        <v>46154</v>
      </c>
      <c r="C174" s="9" t="str">
        <f t="shared" si="8"/>
        <v>May</v>
      </c>
      <c r="D174" s="9" t="s">
        <v>24</v>
      </c>
      <c r="E174" s="9" t="s">
        <v>46</v>
      </c>
      <c r="F174" s="9" t="s">
        <v>47</v>
      </c>
      <c r="G174" s="9" t="s">
        <v>52</v>
      </c>
      <c r="H174" s="9">
        <v>1</v>
      </c>
      <c r="I174" s="11">
        <v>2999</v>
      </c>
      <c r="J174" s="11">
        <v>2003</v>
      </c>
      <c r="K174" s="11">
        <f t="shared" si="9"/>
        <v>2999</v>
      </c>
      <c r="L174" s="11">
        <f t="shared" si="10"/>
        <v>2003</v>
      </c>
      <c r="M174" s="11">
        <f t="shared" si="11"/>
        <v>996</v>
      </c>
    </row>
    <row r="175" spans="1:13" x14ac:dyDescent="0.35">
      <c r="A175" s="9" t="s">
        <v>260</v>
      </c>
      <c r="B175" s="10">
        <v>46154</v>
      </c>
      <c r="C175" s="9" t="str">
        <f t="shared" si="8"/>
        <v>May</v>
      </c>
      <c r="D175" s="9" t="s">
        <v>24</v>
      </c>
      <c r="E175" s="9" t="s">
        <v>46</v>
      </c>
      <c r="F175" s="9" t="s">
        <v>47</v>
      </c>
      <c r="G175" s="9" t="s">
        <v>147</v>
      </c>
      <c r="H175" s="9">
        <v>2</v>
      </c>
      <c r="I175" s="11">
        <v>2999</v>
      </c>
      <c r="J175" s="11">
        <v>2003</v>
      </c>
      <c r="K175" s="11">
        <f t="shared" si="9"/>
        <v>5998</v>
      </c>
      <c r="L175" s="11">
        <f t="shared" si="10"/>
        <v>4006</v>
      </c>
      <c r="M175" s="11">
        <f t="shared" si="11"/>
        <v>1992</v>
      </c>
    </row>
    <row r="176" spans="1:13" x14ac:dyDescent="0.35">
      <c r="A176" s="9" t="s">
        <v>261</v>
      </c>
      <c r="B176" s="10">
        <v>46154</v>
      </c>
      <c r="C176" s="9" t="str">
        <f t="shared" si="8"/>
        <v>May</v>
      </c>
      <c r="D176" s="9" t="s">
        <v>68</v>
      </c>
      <c r="E176" s="9" t="s">
        <v>46</v>
      </c>
      <c r="F176" s="9" t="s">
        <v>51</v>
      </c>
      <c r="G176" s="9" t="s">
        <v>137</v>
      </c>
      <c r="H176" s="9">
        <v>1</v>
      </c>
      <c r="I176" s="11">
        <v>3499</v>
      </c>
      <c r="J176" s="11">
        <v>2218</v>
      </c>
      <c r="K176" s="11">
        <f t="shared" si="9"/>
        <v>3499</v>
      </c>
      <c r="L176" s="11">
        <f t="shared" si="10"/>
        <v>2218</v>
      </c>
      <c r="M176" s="11">
        <f t="shared" si="11"/>
        <v>1281</v>
      </c>
    </row>
    <row r="177" spans="1:13" x14ac:dyDescent="0.35">
      <c r="A177" s="9" t="s">
        <v>262</v>
      </c>
      <c r="B177" s="10">
        <v>46155</v>
      </c>
      <c r="C177" s="9" t="str">
        <f t="shared" si="8"/>
        <v>May</v>
      </c>
      <c r="D177" s="9" t="s">
        <v>68</v>
      </c>
      <c r="E177" s="9" t="s">
        <v>25</v>
      </c>
      <c r="F177" s="9" t="s">
        <v>37</v>
      </c>
      <c r="G177" s="9" t="s">
        <v>108</v>
      </c>
      <c r="H177" s="9">
        <v>2</v>
      </c>
      <c r="I177" s="11">
        <v>499</v>
      </c>
      <c r="J177" s="11">
        <v>350</v>
      </c>
      <c r="K177" s="11">
        <f t="shared" si="9"/>
        <v>998</v>
      </c>
      <c r="L177" s="11">
        <f t="shared" si="10"/>
        <v>700</v>
      </c>
      <c r="M177" s="11">
        <f t="shared" si="11"/>
        <v>298</v>
      </c>
    </row>
    <row r="178" spans="1:13" x14ac:dyDescent="0.35">
      <c r="A178" s="9" t="s">
        <v>263</v>
      </c>
      <c r="B178" s="10">
        <v>46155</v>
      </c>
      <c r="C178" s="9" t="str">
        <f t="shared" si="8"/>
        <v>May</v>
      </c>
      <c r="D178" s="9" t="s">
        <v>68</v>
      </c>
      <c r="E178" s="9" t="s">
        <v>40</v>
      </c>
      <c r="F178" s="9" t="s">
        <v>43</v>
      </c>
      <c r="G178" s="9" t="s">
        <v>92</v>
      </c>
      <c r="H178" s="9">
        <v>1</v>
      </c>
      <c r="I178" s="11">
        <v>799</v>
      </c>
      <c r="J178" s="11">
        <v>474</v>
      </c>
      <c r="K178" s="11">
        <f t="shared" si="9"/>
        <v>799</v>
      </c>
      <c r="L178" s="11">
        <f t="shared" si="10"/>
        <v>474</v>
      </c>
      <c r="M178" s="11">
        <f t="shared" si="11"/>
        <v>325</v>
      </c>
    </row>
    <row r="179" spans="1:13" x14ac:dyDescent="0.35">
      <c r="A179" s="9" t="s">
        <v>264</v>
      </c>
      <c r="B179" s="10">
        <v>46156</v>
      </c>
      <c r="C179" s="9" t="str">
        <f t="shared" si="8"/>
        <v>May</v>
      </c>
      <c r="D179" s="9" t="s">
        <v>68</v>
      </c>
      <c r="E179" s="9" t="s">
        <v>40</v>
      </c>
      <c r="F179" s="9" t="s">
        <v>43</v>
      </c>
      <c r="G179" s="9" t="s">
        <v>165</v>
      </c>
      <c r="H179" s="9">
        <v>2</v>
      </c>
      <c r="I179" s="11">
        <v>799</v>
      </c>
      <c r="J179" s="11">
        <v>474</v>
      </c>
      <c r="K179" s="11">
        <f t="shared" si="9"/>
        <v>1598</v>
      </c>
      <c r="L179" s="11">
        <f t="shared" si="10"/>
        <v>948</v>
      </c>
      <c r="M179" s="11">
        <f t="shared" si="11"/>
        <v>650</v>
      </c>
    </row>
    <row r="180" spans="1:13" x14ac:dyDescent="0.35">
      <c r="A180" s="9" t="s">
        <v>265</v>
      </c>
      <c r="B180" s="10">
        <v>46157</v>
      </c>
      <c r="C180" s="9" t="str">
        <f t="shared" si="8"/>
        <v>May</v>
      </c>
      <c r="D180" s="9" t="s">
        <v>24</v>
      </c>
      <c r="E180" s="9" t="s">
        <v>20</v>
      </c>
      <c r="F180" s="9" t="s">
        <v>21</v>
      </c>
      <c r="G180" s="9" t="s">
        <v>27</v>
      </c>
      <c r="H180" s="9">
        <v>1</v>
      </c>
      <c r="I180" s="11">
        <v>1299</v>
      </c>
      <c r="J180" s="11">
        <v>963</v>
      </c>
      <c r="K180" s="11">
        <f t="shared" si="9"/>
        <v>1299</v>
      </c>
      <c r="L180" s="11">
        <f t="shared" si="10"/>
        <v>963</v>
      </c>
      <c r="M180" s="11">
        <f t="shared" si="11"/>
        <v>336</v>
      </c>
    </row>
    <row r="181" spans="1:13" x14ac:dyDescent="0.35">
      <c r="A181" s="9" t="s">
        <v>266</v>
      </c>
      <c r="B181" s="10">
        <v>46157</v>
      </c>
      <c r="C181" s="9" t="str">
        <f t="shared" si="8"/>
        <v>May</v>
      </c>
      <c r="D181" s="9" t="s">
        <v>19</v>
      </c>
      <c r="E181" s="9" t="s">
        <v>40</v>
      </c>
      <c r="F181" s="9" t="s">
        <v>43</v>
      </c>
      <c r="G181" s="9" t="s">
        <v>55</v>
      </c>
      <c r="H181" s="9">
        <v>1</v>
      </c>
      <c r="I181" s="11">
        <v>799</v>
      </c>
      <c r="J181" s="11">
        <v>474</v>
      </c>
      <c r="K181" s="11">
        <f t="shared" si="9"/>
        <v>799</v>
      </c>
      <c r="L181" s="11">
        <f t="shared" si="10"/>
        <v>474</v>
      </c>
      <c r="M181" s="11">
        <f t="shared" si="11"/>
        <v>325</v>
      </c>
    </row>
    <row r="182" spans="1:13" x14ac:dyDescent="0.35">
      <c r="A182" s="9" t="s">
        <v>267</v>
      </c>
      <c r="B182" s="10">
        <v>46158</v>
      </c>
      <c r="C182" s="9" t="str">
        <f t="shared" si="8"/>
        <v>May</v>
      </c>
      <c r="D182" s="9" t="s">
        <v>24</v>
      </c>
      <c r="E182" s="9" t="s">
        <v>20</v>
      </c>
      <c r="F182" s="9" t="s">
        <v>21</v>
      </c>
      <c r="G182" s="9" t="s">
        <v>132</v>
      </c>
      <c r="H182" s="9">
        <v>2</v>
      </c>
      <c r="I182" s="11">
        <v>1299</v>
      </c>
      <c r="J182" s="11">
        <v>963</v>
      </c>
      <c r="K182" s="11">
        <f t="shared" si="9"/>
        <v>2598</v>
      </c>
      <c r="L182" s="11">
        <f t="shared" si="10"/>
        <v>1926</v>
      </c>
      <c r="M182" s="11">
        <f t="shared" si="11"/>
        <v>672</v>
      </c>
    </row>
    <row r="183" spans="1:13" x14ac:dyDescent="0.35">
      <c r="A183" s="9" t="s">
        <v>268</v>
      </c>
      <c r="B183" s="10">
        <v>46158</v>
      </c>
      <c r="C183" s="9" t="str">
        <f t="shared" si="8"/>
        <v>May</v>
      </c>
      <c r="D183" s="9" t="s">
        <v>68</v>
      </c>
      <c r="E183" s="9" t="s">
        <v>46</v>
      </c>
      <c r="F183" s="9" t="s">
        <v>65</v>
      </c>
      <c r="G183" s="9" t="s">
        <v>66</v>
      </c>
      <c r="H183" s="9">
        <v>1</v>
      </c>
      <c r="I183" s="11">
        <v>3499</v>
      </c>
      <c r="J183" s="11">
        <v>2064</v>
      </c>
      <c r="K183" s="11">
        <f t="shared" si="9"/>
        <v>3499</v>
      </c>
      <c r="L183" s="11">
        <f t="shared" si="10"/>
        <v>2064</v>
      </c>
      <c r="M183" s="11">
        <f t="shared" si="11"/>
        <v>1435</v>
      </c>
    </row>
    <row r="184" spans="1:13" x14ac:dyDescent="0.35">
      <c r="A184" s="9" t="s">
        <v>269</v>
      </c>
      <c r="B184" s="10">
        <v>46160</v>
      </c>
      <c r="C184" s="9" t="str">
        <f t="shared" si="8"/>
        <v>May</v>
      </c>
      <c r="D184" s="9" t="s">
        <v>68</v>
      </c>
      <c r="E184" s="9" t="s">
        <v>25</v>
      </c>
      <c r="F184" s="9" t="s">
        <v>26</v>
      </c>
      <c r="G184" s="9" t="s">
        <v>31</v>
      </c>
      <c r="H184" s="9">
        <v>2</v>
      </c>
      <c r="I184" s="11">
        <v>1999</v>
      </c>
      <c r="J184" s="11">
        <v>1211</v>
      </c>
      <c r="K184" s="11">
        <f t="shared" si="9"/>
        <v>3998</v>
      </c>
      <c r="L184" s="11">
        <f t="shared" si="10"/>
        <v>2422</v>
      </c>
      <c r="M184" s="11">
        <f t="shared" si="11"/>
        <v>1576</v>
      </c>
    </row>
    <row r="185" spans="1:13" x14ac:dyDescent="0.35">
      <c r="A185" s="9" t="s">
        <v>270</v>
      </c>
      <c r="B185" s="10">
        <v>46160</v>
      </c>
      <c r="C185" s="9" t="str">
        <f t="shared" si="8"/>
        <v>May</v>
      </c>
      <c r="D185" s="9" t="s">
        <v>24</v>
      </c>
      <c r="E185" s="9" t="s">
        <v>25</v>
      </c>
      <c r="F185" s="9" t="s">
        <v>26</v>
      </c>
      <c r="G185" s="9" t="s">
        <v>44</v>
      </c>
      <c r="H185" s="9">
        <v>1</v>
      </c>
      <c r="I185" s="11">
        <v>1999</v>
      </c>
      <c r="J185" s="11">
        <v>1211</v>
      </c>
      <c r="K185" s="11">
        <f t="shared" si="9"/>
        <v>1999</v>
      </c>
      <c r="L185" s="11">
        <f t="shared" si="10"/>
        <v>1211</v>
      </c>
      <c r="M185" s="11">
        <f t="shared" si="11"/>
        <v>788</v>
      </c>
    </row>
    <row r="186" spans="1:13" x14ac:dyDescent="0.35">
      <c r="A186" s="9" t="s">
        <v>271</v>
      </c>
      <c r="B186" s="10">
        <v>46160</v>
      </c>
      <c r="C186" s="9" t="str">
        <f t="shared" si="8"/>
        <v>May</v>
      </c>
      <c r="D186" s="9" t="s">
        <v>36</v>
      </c>
      <c r="E186" s="9" t="s">
        <v>46</v>
      </c>
      <c r="F186" s="9" t="s">
        <v>51</v>
      </c>
      <c r="G186" s="9" t="s">
        <v>38</v>
      </c>
      <c r="H186" s="9">
        <v>2</v>
      </c>
      <c r="I186" s="11">
        <v>3499</v>
      </c>
      <c r="J186" s="11">
        <v>2218</v>
      </c>
      <c r="K186" s="11">
        <f t="shared" si="9"/>
        <v>6998</v>
      </c>
      <c r="L186" s="11">
        <f t="shared" si="10"/>
        <v>4436</v>
      </c>
      <c r="M186" s="11">
        <f t="shared" si="11"/>
        <v>2562</v>
      </c>
    </row>
    <row r="187" spans="1:13" x14ac:dyDescent="0.35">
      <c r="A187" s="9" t="s">
        <v>272</v>
      </c>
      <c r="B187" s="10">
        <v>46161</v>
      </c>
      <c r="C187" s="9" t="str">
        <f t="shared" si="8"/>
        <v>May</v>
      </c>
      <c r="D187" s="9" t="s">
        <v>24</v>
      </c>
      <c r="E187" s="9" t="s">
        <v>29</v>
      </c>
      <c r="F187" s="9" t="s">
        <v>30</v>
      </c>
      <c r="G187" s="9" t="s">
        <v>31</v>
      </c>
      <c r="H187" s="9">
        <v>2</v>
      </c>
      <c r="I187" s="11">
        <v>1499</v>
      </c>
      <c r="J187" s="11">
        <v>898</v>
      </c>
      <c r="K187" s="11">
        <f t="shared" si="9"/>
        <v>2998</v>
      </c>
      <c r="L187" s="11">
        <f t="shared" si="10"/>
        <v>1796</v>
      </c>
      <c r="M187" s="11">
        <f t="shared" si="11"/>
        <v>1202</v>
      </c>
    </row>
    <row r="188" spans="1:13" x14ac:dyDescent="0.35">
      <c r="A188" s="9" t="s">
        <v>273</v>
      </c>
      <c r="B188" s="10">
        <v>46161</v>
      </c>
      <c r="C188" s="9" t="str">
        <f t="shared" si="8"/>
        <v>May</v>
      </c>
      <c r="D188" s="9" t="s">
        <v>36</v>
      </c>
      <c r="E188" s="9" t="s">
        <v>25</v>
      </c>
      <c r="F188" s="9" t="s">
        <v>26</v>
      </c>
      <c r="G188" s="9" t="s">
        <v>130</v>
      </c>
      <c r="H188" s="9">
        <v>1</v>
      </c>
      <c r="I188" s="11">
        <v>1999</v>
      </c>
      <c r="J188" s="11">
        <v>1211</v>
      </c>
      <c r="K188" s="11">
        <f t="shared" si="9"/>
        <v>1999</v>
      </c>
      <c r="L188" s="11">
        <f t="shared" si="10"/>
        <v>1211</v>
      </c>
      <c r="M188" s="11">
        <f t="shared" si="11"/>
        <v>788</v>
      </c>
    </row>
    <row r="189" spans="1:13" x14ac:dyDescent="0.35">
      <c r="A189" s="9" t="s">
        <v>274</v>
      </c>
      <c r="B189" s="10">
        <v>46162</v>
      </c>
      <c r="C189" s="9" t="str">
        <f t="shared" si="8"/>
        <v>May</v>
      </c>
      <c r="D189" s="9" t="s">
        <v>24</v>
      </c>
      <c r="E189" s="9" t="s">
        <v>40</v>
      </c>
      <c r="F189" s="9" t="s">
        <v>41</v>
      </c>
      <c r="G189" s="9" t="s">
        <v>152</v>
      </c>
      <c r="H189" s="9">
        <v>1</v>
      </c>
      <c r="I189" s="11">
        <v>3499</v>
      </c>
      <c r="J189" s="11">
        <v>2346</v>
      </c>
      <c r="K189" s="11">
        <f t="shared" si="9"/>
        <v>3499</v>
      </c>
      <c r="L189" s="11">
        <f t="shared" si="10"/>
        <v>2346</v>
      </c>
      <c r="M189" s="11">
        <f t="shared" si="11"/>
        <v>1153</v>
      </c>
    </row>
    <row r="190" spans="1:13" x14ac:dyDescent="0.35">
      <c r="A190" s="9" t="s">
        <v>275</v>
      </c>
      <c r="B190" s="10">
        <v>46162</v>
      </c>
      <c r="C190" s="9" t="str">
        <f t="shared" si="8"/>
        <v>May</v>
      </c>
      <c r="D190" s="9" t="s">
        <v>24</v>
      </c>
      <c r="E190" s="9" t="s">
        <v>46</v>
      </c>
      <c r="F190" s="9" t="s">
        <v>65</v>
      </c>
      <c r="G190" s="9" t="s">
        <v>73</v>
      </c>
      <c r="H190" s="9">
        <v>1</v>
      </c>
      <c r="I190" s="11">
        <v>3499</v>
      </c>
      <c r="J190" s="11">
        <v>2064</v>
      </c>
      <c r="K190" s="11">
        <f t="shared" si="9"/>
        <v>3499</v>
      </c>
      <c r="L190" s="11">
        <f t="shared" si="10"/>
        <v>2064</v>
      </c>
      <c r="M190" s="11">
        <f t="shared" si="11"/>
        <v>1435</v>
      </c>
    </row>
    <row r="191" spans="1:13" x14ac:dyDescent="0.35">
      <c r="A191" s="9" t="s">
        <v>276</v>
      </c>
      <c r="B191" s="10">
        <v>46162</v>
      </c>
      <c r="C191" s="9" t="str">
        <f t="shared" si="8"/>
        <v>May</v>
      </c>
      <c r="D191" s="9" t="s">
        <v>19</v>
      </c>
      <c r="E191" s="9" t="s">
        <v>46</v>
      </c>
      <c r="F191" s="9" t="s">
        <v>65</v>
      </c>
      <c r="G191" s="9" t="s">
        <v>76</v>
      </c>
      <c r="H191" s="9">
        <v>3</v>
      </c>
      <c r="I191" s="11">
        <v>3499</v>
      </c>
      <c r="J191" s="11">
        <v>2064</v>
      </c>
      <c r="K191" s="11">
        <f t="shared" si="9"/>
        <v>10497</v>
      </c>
      <c r="L191" s="11">
        <f t="shared" si="10"/>
        <v>6192</v>
      </c>
      <c r="M191" s="11">
        <f t="shared" si="11"/>
        <v>4305</v>
      </c>
    </row>
    <row r="192" spans="1:13" x14ac:dyDescent="0.35">
      <c r="A192" s="9" t="s">
        <v>277</v>
      </c>
      <c r="B192" s="10">
        <v>46163</v>
      </c>
      <c r="C192" s="9" t="str">
        <f t="shared" si="8"/>
        <v>May</v>
      </c>
      <c r="D192" s="9" t="s">
        <v>36</v>
      </c>
      <c r="E192" s="9" t="s">
        <v>46</v>
      </c>
      <c r="F192" s="9" t="s">
        <v>65</v>
      </c>
      <c r="G192" s="9" t="s">
        <v>27</v>
      </c>
      <c r="H192" s="9">
        <v>2</v>
      </c>
      <c r="I192" s="11">
        <v>3499</v>
      </c>
      <c r="J192" s="11">
        <v>2064</v>
      </c>
      <c r="K192" s="11">
        <f t="shared" si="9"/>
        <v>6998</v>
      </c>
      <c r="L192" s="11">
        <f t="shared" si="10"/>
        <v>4128</v>
      </c>
      <c r="M192" s="11">
        <f t="shared" si="11"/>
        <v>2870</v>
      </c>
    </row>
    <row r="193" spans="1:13" x14ac:dyDescent="0.35">
      <c r="A193" s="9" t="s">
        <v>278</v>
      </c>
      <c r="B193" s="10">
        <v>46163</v>
      </c>
      <c r="C193" s="9" t="str">
        <f t="shared" si="8"/>
        <v>May</v>
      </c>
      <c r="D193" s="9" t="s">
        <v>68</v>
      </c>
      <c r="E193" s="9" t="s">
        <v>29</v>
      </c>
      <c r="F193" s="9" t="s">
        <v>58</v>
      </c>
      <c r="G193" s="9" t="s">
        <v>104</v>
      </c>
      <c r="H193" s="9">
        <v>2</v>
      </c>
      <c r="I193" s="11">
        <v>999</v>
      </c>
      <c r="J193" s="11">
        <v>697</v>
      </c>
      <c r="K193" s="11">
        <f t="shared" si="9"/>
        <v>1998</v>
      </c>
      <c r="L193" s="11">
        <f t="shared" si="10"/>
        <v>1394</v>
      </c>
      <c r="M193" s="11">
        <f t="shared" si="11"/>
        <v>604</v>
      </c>
    </row>
    <row r="194" spans="1:13" x14ac:dyDescent="0.35">
      <c r="A194" s="9" t="s">
        <v>279</v>
      </c>
      <c r="B194" s="10">
        <v>46164</v>
      </c>
      <c r="C194" s="9" t="str">
        <f t="shared" ref="C194:C257" si="12">TEXT(B194,"mmm")</f>
        <v>May</v>
      </c>
      <c r="D194" s="9" t="s">
        <v>24</v>
      </c>
      <c r="E194" s="9" t="s">
        <v>20</v>
      </c>
      <c r="F194" s="9" t="s">
        <v>21</v>
      </c>
      <c r="G194" s="9" t="s">
        <v>137</v>
      </c>
      <c r="H194" s="9">
        <v>2</v>
      </c>
      <c r="I194" s="11">
        <v>1299</v>
      </c>
      <c r="J194" s="11">
        <v>963</v>
      </c>
      <c r="K194" s="11">
        <f t="shared" ref="K194:K222" si="13">H194*I194</f>
        <v>2598</v>
      </c>
      <c r="L194" s="11">
        <f t="shared" ref="L194:L222" si="14">H194*J194</f>
        <v>1926</v>
      </c>
      <c r="M194" s="11">
        <f t="shared" ref="M194:M257" si="15">K194-L194</f>
        <v>672</v>
      </c>
    </row>
    <row r="195" spans="1:13" x14ac:dyDescent="0.35">
      <c r="A195" s="9" t="s">
        <v>280</v>
      </c>
      <c r="B195" s="10">
        <v>46165</v>
      </c>
      <c r="C195" s="9" t="str">
        <f t="shared" si="12"/>
        <v>May</v>
      </c>
      <c r="D195" s="9" t="s">
        <v>24</v>
      </c>
      <c r="E195" s="9" t="s">
        <v>40</v>
      </c>
      <c r="F195" s="9" t="s">
        <v>113</v>
      </c>
      <c r="G195" s="9" t="s">
        <v>38</v>
      </c>
      <c r="H195" s="9">
        <v>3</v>
      </c>
      <c r="I195" s="11">
        <v>2499</v>
      </c>
      <c r="J195" s="11">
        <v>1390</v>
      </c>
      <c r="K195" s="11">
        <f t="shared" si="13"/>
        <v>7497</v>
      </c>
      <c r="L195" s="11">
        <f t="shared" si="14"/>
        <v>4170</v>
      </c>
      <c r="M195" s="11">
        <f t="shared" si="15"/>
        <v>3327</v>
      </c>
    </row>
    <row r="196" spans="1:13" x14ac:dyDescent="0.35">
      <c r="A196" s="9" t="s">
        <v>281</v>
      </c>
      <c r="B196" s="10">
        <v>46165</v>
      </c>
      <c r="C196" s="9" t="str">
        <f t="shared" si="12"/>
        <v>May</v>
      </c>
      <c r="D196" s="9" t="s">
        <v>68</v>
      </c>
      <c r="E196" s="9" t="s">
        <v>40</v>
      </c>
      <c r="F196" s="9" t="s">
        <v>113</v>
      </c>
      <c r="G196" s="9" t="s">
        <v>79</v>
      </c>
      <c r="H196" s="9">
        <v>2</v>
      </c>
      <c r="I196" s="11">
        <v>2499</v>
      </c>
      <c r="J196" s="11">
        <v>1390</v>
      </c>
      <c r="K196" s="11">
        <f t="shared" si="13"/>
        <v>4998</v>
      </c>
      <c r="L196" s="11">
        <f t="shared" si="14"/>
        <v>2780</v>
      </c>
      <c r="M196" s="11">
        <f t="shared" si="15"/>
        <v>2218</v>
      </c>
    </row>
    <row r="197" spans="1:13" x14ac:dyDescent="0.35">
      <c r="A197" s="9" t="s">
        <v>282</v>
      </c>
      <c r="B197" s="10">
        <v>46165</v>
      </c>
      <c r="C197" s="9" t="str">
        <f t="shared" si="12"/>
        <v>May</v>
      </c>
      <c r="D197" s="9" t="s">
        <v>68</v>
      </c>
      <c r="E197" s="9" t="s">
        <v>46</v>
      </c>
      <c r="F197" s="9" t="s">
        <v>51</v>
      </c>
      <c r="G197" s="9" t="s">
        <v>101</v>
      </c>
      <c r="H197" s="9">
        <v>1</v>
      </c>
      <c r="I197" s="11">
        <v>3499</v>
      </c>
      <c r="J197" s="11">
        <v>2218</v>
      </c>
      <c r="K197" s="11">
        <f t="shared" si="13"/>
        <v>3499</v>
      </c>
      <c r="L197" s="11">
        <f t="shared" si="14"/>
        <v>2218</v>
      </c>
      <c r="M197" s="11">
        <f t="shared" si="15"/>
        <v>1281</v>
      </c>
    </row>
    <row r="198" spans="1:13" x14ac:dyDescent="0.35">
      <c r="A198" s="9" t="s">
        <v>283</v>
      </c>
      <c r="B198" s="10">
        <v>46167</v>
      </c>
      <c r="C198" s="9" t="str">
        <f t="shared" si="12"/>
        <v>May</v>
      </c>
      <c r="D198" s="9" t="s">
        <v>68</v>
      </c>
      <c r="E198" s="9" t="s">
        <v>40</v>
      </c>
      <c r="F198" s="9" t="s">
        <v>41</v>
      </c>
      <c r="G198" s="9" t="s">
        <v>55</v>
      </c>
      <c r="H198" s="9">
        <v>1</v>
      </c>
      <c r="I198" s="11">
        <v>3499</v>
      </c>
      <c r="J198" s="11">
        <v>2346</v>
      </c>
      <c r="K198" s="11">
        <f t="shared" si="13"/>
        <v>3499</v>
      </c>
      <c r="L198" s="11">
        <f t="shared" si="14"/>
        <v>2346</v>
      </c>
      <c r="M198" s="11">
        <f t="shared" si="15"/>
        <v>1153</v>
      </c>
    </row>
    <row r="199" spans="1:13" x14ac:dyDescent="0.35">
      <c r="A199" s="9" t="s">
        <v>284</v>
      </c>
      <c r="B199" s="10">
        <v>46167</v>
      </c>
      <c r="C199" s="9" t="str">
        <f t="shared" si="12"/>
        <v>May</v>
      </c>
      <c r="D199" s="9" t="s">
        <v>36</v>
      </c>
      <c r="E199" s="9" t="s">
        <v>25</v>
      </c>
      <c r="F199" s="9" t="s">
        <v>61</v>
      </c>
      <c r="G199" s="9" t="s">
        <v>34</v>
      </c>
      <c r="H199" s="9">
        <v>2</v>
      </c>
      <c r="I199" s="11">
        <v>999</v>
      </c>
      <c r="J199" s="11">
        <v>689</v>
      </c>
      <c r="K199" s="11">
        <f t="shared" si="13"/>
        <v>1998</v>
      </c>
      <c r="L199" s="11">
        <f t="shared" si="14"/>
        <v>1378</v>
      </c>
      <c r="M199" s="11">
        <f t="shared" si="15"/>
        <v>620</v>
      </c>
    </row>
    <row r="200" spans="1:13" x14ac:dyDescent="0.35">
      <c r="A200" s="9" t="s">
        <v>285</v>
      </c>
      <c r="B200" s="10">
        <v>46167</v>
      </c>
      <c r="C200" s="9" t="str">
        <f t="shared" si="12"/>
        <v>May</v>
      </c>
      <c r="D200" s="9" t="s">
        <v>68</v>
      </c>
      <c r="E200" s="9" t="s">
        <v>29</v>
      </c>
      <c r="F200" s="9" t="s">
        <v>54</v>
      </c>
      <c r="G200" s="9" t="s">
        <v>96</v>
      </c>
      <c r="H200" s="9">
        <v>1</v>
      </c>
      <c r="I200" s="11">
        <v>3499</v>
      </c>
      <c r="J200" s="11">
        <v>1985</v>
      </c>
      <c r="K200" s="11">
        <f t="shared" si="13"/>
        <v>3499</v>
      </c>
      <c r="L200" s="11">
        <f t="shared" si="14"/>
        <v>1985</v>
      </c>
      <c r="M200" s="11">
        <f t="shared" si="15"/>
        <v>1514</v>
      </c>
    </row>
    <row r="201" spans="1:13" x14ac:dyDescent="0.35">
      <c r="A201" s="9" t="s">
        <v>286</v>
      </c>
      <c r="B201" s="10">
        <v>46168</v>
      </c>
      <c r="C201" s="9" t="str">
        <f t="shared" si="12"/>
        <v>May</v>
      </c>
      <c r="D201" s="9" t="s">
        <v>36</v>
      </c>
      <c r="E201" s="9" t="s">
        <v>40</v>
      </c>
      <c r="F201" s="9" t="s">
        <v>41</v>
      </c>
      <c r="G201" s="9" t="s">
        <v>110</v>
      </c>
      <c r="H201" s="9">
        <v>1</v>
      </c>
      <c r="I201" s="11">
        <v>3499</v>
      </c>
      <c r="J201" s="11">
        <v>2346</v>
      </c>
      <c r="K201" s="11">
        <f t="shared" si="13"/>
        <v>3499</v>
      </c>
      <c r="L201" s="11">
        <f t="shared" si="14"/>
        <v>2346</v>
      </c>
      <c r="M201" s="11">
        <f t="shared" si="15"/>
        <v>1153</v>
      </c>
    </row>
    <row r="202" spans="1:13" x14ac:dyDescent="0.35">
      <c r="A202" s="9" t="s">
        <v>287</v>
      </c>
      <c r="B202" s="10">
        <v>46168</v>
      </c>
      <c r="C202" s="9" t="str">
        <f t="shared" si="12"/>
        <v>May</v>
      </c>
      <c r="D202" s="9" t="s">
        <v>19</v>
      </c>
      <c r="E202" s="9" t="s">
        <v>29</v>
      </c>
      <c r="F202" s="9" t="s">
        <v>58</v>
      </c>
      <c r="G202" s="9" t="s">
        <v>177</v>
      </c>
      <c r="H202" s="9">
        <v>2</v>
      </c>
      <c r="I202" s="11">
        <v>999</v>
      </c>
      <c r="J202" s="11">
        <v>697</v>
      </c>
      <c r="K202" s="11">
        <f t="shared" si="13"/>
        <v>1998</v>
      </c>
      <c r="L202" s="11">
        <f t="shared" si="14"/>
        <v>1394</v>
      </c>
      <c r="M202" s="11">
        <f t="shared" si="15"/>
        <v>604</v>
      </c>
    </row>
    <row r="203" spans="1:13" x14ac:dyDescent="0.35">
      <c r="A203" s="9" t="s">
        <v>288</v>
      </c>
      <c r="B203" s="10">
        <v>46170</v>
      </c>
      <c r="C203" s="9" t="str">
        <f t="shared" si="12"/>
        <v>May</v>
      </c>
      <c r="D203" s="9" t="s">
        <v>36</v>
      </c>
      <c r="E203" s="9" t="s">
        <v>25</v>
      </c>
      <c r="F203" s="9" t="s">
        <v>61</v>
      </c>
      <c r="G203" s="9" t="s">
        <v>193</v>
      </c>
      <c r="H203" s="9">
        <v>3</v>
      </c>
      <c r="I203" s="11">
        <v>999</v>
      </c>
      <c r="J203" s="11">
        <v>689</v>
      </c>
      <c r="K203" s="11">
        <f t="shared" si="13"/>
        <v>2997</v>
      </c>
      <c r="L203" s="11">
        <f t="shared" si="14"/>
        <v>2067</v>
      </c>
      <c r="M203" s="11">
        <f t="shared" si="15"/>
        <v>930</v>
      </c>
    </row>
    <row r="204" spans="1:13" x14ac:dyDescent="0.35">
      <c r="A204" s="9" t="s">
        <v>289</v>
      </c>
      <c r="B204" s="10">
        <v>46171</v>
      </c>
      <c r="C204" s="9" t="str">
        <f t="shared" si="12"/>
        <v>May</v>
      </c>
      <c r="D204" s="9" t="s">
        <v>19</v>
      </c>
      <c r="E204" s="9" t="s">
        <v>46</v>
      </c>
      <c r="F204" s="9" t="s">
        <v>65</v>
      </c>
      <c r="G204" s="9" t="s">
        <v>92</v>
      </c>
      <c r="H204" s="9">
        <v>2</v>
      </c>
      <c r="I204" s="11">
        <v>3499</v>
      </c>
      <c r="J204" s="11">
        <v>2064</v>
      </c>
      <c r="K204" s="11">
        <f t="shared" si="13"/>
        <v>6998</v>
      </c>
      <c r="L204" s="11">
        <f t="shared" si="14"/>
        <v>4128</v>
      </c>
      <c r="M204" s="11">
        <f t="shared" si="15"/>
        <v>2870</v>
      </c>
    </row>
    <row r="205" spans="1:13" x14ac:dyDescent="0.35">
      <c r="A205" s="9" t="s">
        <v>290</v>
      </c>
      <c r="B205" s="10">
        <v>46172</v>
      </c>
      <c r="C205" s="9" t="str">
        <f t="shared" si="12"/>
        <v>May</v>
      </c>
      <c r="D205" s="9" t="s">
        <v>19</v>
      </c>
      <c r="E205" s="9" t="s">
        <v>20</v>
      </c>
      <c r="F205" s="9" t="s">
        <v>21</v>
      </c>
      <c r="G205" s="9" t="s">
        <v>52</v>
      </c>
      <c r="H205" s="9">
        <v>2</v>
      </c>
      <c r="I205" s="11">
        <v>1299</v>
      </c>
      <c r="J205" s="11">
        <v>963</v>
      </c>
      <c r="K205" s="11">
        <f t="shared" si="13"/>
        <v>2598</v>
      </c>
      <c r="L205" s="11">
        <f t="shared" si="14"/>
        <v>1926</v>
      </c>
      <c r="M205" s="11">
        <f t="shared" si="15"/>
        <v>672</v>
      </c>
    </row>
    <row r="206" spans="1:13" x14ac:dyDescent="0.35">
      <c r="A206" s="9" t="s">
        <v>291</v>
      </c>
      <c r="B206" s="10">
        <v>46174</v>
      </c>
      <c r="C206" s="9" t="str">
        <f t="shared" si="12"/>
        <v>Jun</v>
      </c>
      <c r="D206" s="9" t="s">
        <v>68</v>
      </c>
      <c r="E206" s="9" t="s">
        <v>25</v>
      </c>
      <c r="F206" s="9" t="s">
        <v>37</v>
      </c>
      <c r="G206" s="9" t="s">
        <v>48</v>
      </c>
      <c r="H206" s="9">
        <v>1</v>
      </c>
      <c r="I206" s="11">
        <v>499</v>
      </c>
      <c r="J206" s="11">
        <v>350</v>
      </c>
      <c r="K206" s="11">
        <f t="shared" si="13"/>
        <v>499</v>
      </c>
      <c r="L206" s="11">
        <f t="shared" si="14"/>
        <v>350</v>
      </c>
      <c r="M206" s="11">
        <f t="shared" si="15"/>
        <v>149</v>
      </c>
    </row>
    <row r="207" spans="1:13" x14ac:dyDescent="0.35">
      <c r="A207" s="9" t="s">
        <v>292</v>
      </c>
      <c r="B207" s="10">
        <v>46174</v>
      </c>
      <c r="C207" s="9" t="str">
        <f t="shared" si="12"/>
        <v>Jun</v>
      </c>
      <c r="D207" s="9" t="s">
        <v>24</v>
      </c>
      <c r="E207" s="9" t="s">
        <v>46</v>
      </c>
      <c r="F207" s="9" t="s">
        <v>47</v>
      </c>
      <c r="G207" s="9" t="s">
        <v>125</v>
      </c>
      <c r="H207" s="9">
        <v>3</v>
      </c>
      <c r="I207" s="11">
        <v>2999</v>
      </c>
      <c r="J207" s="11">
        <v>2003</v>
      </c>
      <c r="K207" s="11">
        <f t="shared" si="13"/>
        <v>8997</v>
      </c>
      <c r="L207" s="11">
        <f t="shared" si="14"/>
        <v>6009</v>
      </c>
      <c r="M207" s="11">
        <f t="shared" si="15"/>
        <v>2988</v>
      </c>
    </row>
    <row r="208" spans="1:13" x14ac:dyDescent="0.35">
      <c r="A208" s="9" t="s">
        <v>293</v>
      </c>
      <c r="B208" s="10">
        <v>46175</v>
      </c>
      <c r="C208" s="9" t="str">
        <f t="shared" si="12"/>
        <v>Jun</v>
      </c>
      <c r="D208" s="9" t="s">
        <v>24</v>
      </c>
      <c r="E208" s="9" t="s">
        <v>29</v>
      </c>
      <c r="F208" s="9" t="s">
        <v>54</v>
      </c>
      <c r="G208" s="9" t="s">
        <v>228</v>
      </c>
      <c r="H208" s="9">
        <v>1</v>
      </c>
      <c r="I208" s="11">
        <v>3499</v>
      </c>
      <c r="J208" s="11">
        <v>1985</v>
      </c>
      <c r="K208" s="11">
        <f t="shared" si="13"/>
        <v>3499</v>
      </c>
      <c r="L208" s="11">
        <f t="shared" si="14"/>
        <v>1985</v>
      </c>
      <c r="M208" s="11">
        <f t="shared" si="15"/>
        <v>1514</v>
      </c>
    </row>
    <row r="209" spans="1:13" x14ac:dyDescent="0.35">
      <c r="A209" s="9" t="s">
        <v>294</v>
      </c>
      <c r="B209" s="10">
        <v>46175</v>
      </c>
      <c r="C209" s="9" t="str">
        <f t="shared" si="12"/>
        <v>Jun</v>
      </c>
      <c r="D209" s="9" t="s">
        <v>24</v>
      </c>
      <c r="E209" s="9" t="s">
        <v>25</v>
      </c>
      <c r="F209" s="9" t="s">
        <v>26</v>
      </c>
      <c r="G209" s="9" t="s">
        <v>90</v>
      </c>
      <c r="H209" s="9">
        <v>1</v>
      </c>
      <c r="I209" s="11">
        <v>1999</v>
      </c>
      <c r="J209" s="11">
        <v>1211</v>
      </c>
      <c r="K209" s="11">
        <f t="shared" si="13"/>
        <v>1999</v>
      </c>
      <c r="L209" s="11">
        <f t="shared" si="14"/>
        <v>1211</v>
      </c>
      <c r="M209" s="11">
        <f t="shared" si="15"/>
        <v>788</v>
      </c>
    </row>
    <row r="210" spans="1:13" x14ac:dyDescent="0.35">
      <c r="A210" s="9" t="s">
        <v>295</v>
      </c>
      <c r="B210" s="10">
        <v>46176</v>
      </c>
      <c r="C210" s="9" t="str">
        <f t="shared" si="12"/>
        <v>Jun</v>
      </c>
      <c r="D210" s="9" t="s">
        <v>19</v>
      </c>
      <c r="E210" s="9" t="s">
        <v>29</v>
      </c>
      <c r="F210" s="9" t="s">
        <v>75</v>
      </c>
      <c r="G210" s="9" t="s">
        <v>66</v>
      </c>
      <c r="H210" s="9">
        <v>1</v>
      </c>
      <c r="I210" s="11">
        <v>799</v>
      </c>
      <c r="J210" s="11">
        <v>443</v>
      </c>
      <c r="K210" s="11">
        <f t="shared" si="13"/>
        <v>799</v>
      </c>
      <c r="L210" s="11">
        <f t="shared" si="14"/>
        <v>443</v>
      </c>
      <c r="M210" s="11">
        <f t="shared" si="15"/>
        <v>356</v>
      </c>
    </row>
    <row r="211" spans="1:13" x14ac:dyDescent="0.35">
      <c r="A211" s="9" t="s">
        <v>296</v>
      </c>
      <c r="B211" s="10">
        <v>46177</v>
      </c>
      <c r="C211" s="9" t="str">
        <f t="shared" si="12"/>
        <v>Jun</v>
      </c>
      <c r="D211" s="9" t="s">
        <v>36</v>
      </c>
      <c r="E211" s="9" t="s">
        <v>29</v>
      </c>
      <c r="F211" s="9" t="s">
        <v>58</v>
      </c>
      <c r="G211" s="9" t="s">
        <v>185</v>
      </c>
      <c r="H211" s="9">
        <v>2</v>
      </c>
      <c r="I211" s="11">
        <v>999</v>
      </c>
      <c r="J211" s="11">
        <v>697</v>
      </c>
      <c r="K211" s="11">
        <f t="shared" si="13"/>
        <v>1998</v>
      </c>
      <c r="L211" s="11">
        <f t="shared" si="14"/>
        <v>1394</v>
      </c>
      <c r="M211" s="11">
        <f t="shared" si="15"/>
        <v>604</v>
      </c>
    </row>
    <row r="212" spans="1:13" x14ac:dyDescent="0.35">
      <c r="A212" s="9" t="s">
        <v>297</v>
      </c>
      <c r="B212" s="10">
        <v>46177</v>
      </c>
      <c r="C212" s="9" t="str">
        <f t="shared" si="12"/>
        <v>Jun</v>
      </c>
      <c r="D212" s="9" t="s">
        <v>36</v>
      </c>
      <c r="E212" s="9" t="s">
        <v>46</v>
      </c>
      <c r="F212" s="9" t="s">
        <v>47</v>
      </c>
      <c r="G212" s="9" t="s">
        <v>130</v>
      </c>
      <c r="H212" s="9">
        <v>1</v>
      </c>
      <c r="I212" s="11">
        <v>2999</v>
      </c>
      <c r="J212" s="11">
        <v>2003</v>
      </c>
      <c r="K212" s="11">
        <f t="shared" si="13"/>
        <v>2999</v>
      </c>
      <c r="L212" s="11">
        <f t="shared" si="14"/>
        <v>2003</v>
      </c>
      <c r="M212" s="11">
        <f t="shared" si="15"/>
        <v>996</v>
      </c>
    </row>
    <row r="213" spans="1:13" x14ac:dyDescent="0.35">
      <c r="A213" s="9" t="s">
        <v>298</v>
      </c>
      <c r="B213" s="10">
        <v>46179</v>
      </c>
      <c r="C213" s="9" t="str">
        <f t="shared" si="12"/>
        <v>Jun</v>
      </c>
      <c r="D213" s="9" t="s">
        <v>36</v>
      </c>
      <c r="E213" s="9" t="s">
        <v>25</v>
      </c>
      <c r="F213" s="9" t="s">
        <v>37</v>
      </c>
      <c r="G213" s="9" t="s">
        <v>110</v>
      </c>
      <c r="H213" s="9">
        <v>2</v>
      </c>
      <c r="I213" s="11">
        <v>499</v>
      </c>
      <c r="J213" s="11">
        <v>350</v>
      </c>
      <c r="K213" s="11">
        <f t="shared" si="13"/>
        <v>998</v>
      </c>
      <c r="L213" s="11">
        <f t="shared" si="14"/>
        <v>700</v>
      </c>
      <c r="M213" s="11">
        <f t="shared" si="15"/>
        <v>298</v>
      </c>
    </row>
    <row r="214" spans="1:13" x14ac:dyDescent="0.35">
      <c r="A214" s="9" t="s">
        <v>299</v>
      </c>
      <c r="B214" s="10">
        <v>46179</v>
      </c>
      <c r="C214" s="9" t="str">
        <f t="shared" si="12"/>
        <v>Jun</v>
      </c>
      <c r="D214" s="9" t="s">
        <v>36</v>
      </c>
      <c r="E214" s="9" t="s">
        <v>29</v>
      </c>
      <c r="F214" s="9" t="s">
        <v>58</v>
      </c>
      <c r="G214" s="9" t="s">
        <v>27</v>
      </c>
      <c r="H214" s="9">
        <v>3</v>
      </c>
      <c r="I214" s="11">
        <v>999</v>
      </c>
      <c r="J214" s="11">
        <v>697</v>
      </c>
      <c r="K214" s="11">
        <f t="shared" si="13"/>
        <v>2997</v>
      </c>
      <c r="L214" s="11">
        <f t="shared" si="14"/>
        <v>2091</v>
      </c>
      <c r="M214" s="11">
        <f t="shared" si="15"/>
        <v>906</v>
      </c>
    </row>
    <row r="215" spans="1:13" x14ac:dyDescent="0.35">
      <c r="A215" s="9" t="s">
        <v>300</v>
      </c>
      <c r="B215" s="10">
        <v>46179</v>
      </c>
      <c r="C215" s="9" t="str">
        <f t="shared" si="12"/>
        <v>Jun</v>
      </c>
      <c r="D215" s="9" t="s">
        <v>68</v>
      </c>
      <c r="E215" s="9" t="s">
        <v>40</v>
      </c>
      <c r="F215" s="9" t="s">
        <v>113</v>
      </c>
      <c r="G215" s="9" t="s">
        <v>123</v>
      </c>
      <c r="H215" s="9">
        <v>3</v>
      </c>
      <c r="I215" s="11">
        <v>2499</v>
      </c>
      <c r="J215" s="11">
        <v>1390</v>
      </c>
      <c r="K215" s="11">
        <f t="shared" si="13"/>
        <v>7497</v>
      </c>
      <c r="L215" s="11">
        <f t="shared" si="14"/>
        <v>4170</v>
      </c>
      <c r="M215" s="11">
        <f t="shared" si="15"/>
        <v>3327</v>
      </c>
    </row>
    <row r="216" spans="1:13" x14ac:dyDescent="0.35">
      <c r="A216" s="9" t="s">
        <v>301</v>
      </c>
      <c r="B216" s="10">
        <v>46182</v>
      </c>
      <c r="C216" s="9" t="str">
        <f t="shared" si="12"/>
        <v>Jun</v>
      </c>
      <c r="D216" s="9" t="s">
        <v>36</v>
      </c>
      <c r="E216" s="9" t="s">
        <v>25</v>
      </c>
      <c r="F216" s="9" t="s">
        <v>37</v>
      </c>
      <c r="G216" s="9" t="s">
        <v>85</v>
      </c>
      <c r="H216" s="9">
        <v>2</v>
      </c>
      <c r="I216" s="11">
        <v>499</v>
      </c>
      <c r="J216" s="11">
        <v>350</v>
      </c>
      <c r="K216" s="11">
        <f t="shared" si="13"/>
        <v>998</v>
      </c>
      <c r="L216" s="11">
        <f t="shared" si="14"/>
        <v>700</v>
      </c>
      <c r="M216" s="11">
        <f t="shared" si="15"/>
        <v>298</v>
      </c>
    </row>
    <row r="217" spans="1:13" x14ac:dyDescent="0.35">
      <c r="A217" s="9" t="s">
        <v>302</v>
      </c>
      <c r="B217" s="10">
        <v>46182</v>
      </c>
      <c r="C217" s="9" t="str">
        <f t="shared" si="12"/>
        <v>Jun</v>
      </c>
      <c r="D217" s="9" t="s">
        <v>19</v>
      </c>
      <c r="E217" s="9" t="s">
        <v>40</v>
      </c>
      <c r="F217" s="9" t="s">
        <v>43</v>
      </c>
      <c r="G217" s="9" t="s">
        <v>31</v>
      </c>
      <c r="H217" s="9">
        <v>2</v>
      </c>
      <c r="I217" s="11">
        <v>799</v>
      </c>
      <c r="J217" s="11">
        <v>474</v>
      </c>
      <c r="K217" s="11">
        <f t="shared" si="13"/>
        <v>1598</v>
      </c>
      <c r="L217" s="11">
        <f t="shared" si="14"/>
        <v>948</v>
      </c>
      <c r="M217" s="11">
        <f t="shared" si="15"/>
        <v>650</v>
      </c>
    </row>
    <row r="218" spans="1:13" x14ac:dyDescent="0.35">
      <c r="A218" s="9" t="s">
        <v>303</v>
      </c>
      <c r="B218" s="10">
        <v>46183</v>
      </c>
      <c r="C218" s="9" t="str">
        <f t="shared" si="12"/>
        <v>Jun</v>
      </c>
      <c r="D218" s="9" t="s">
        <v>19</v>
      </c>
      <c r="E218" s="9" t="s">
        <v>20</v>
      </c>
      <c r="F218" s="9" t="s">
        <v>21</v>
      </c>
      <c r="G218" s="9" t="s">
        <v>104</v>
      </c>
      <c r="H218" s="9">
        <v>2</v>
      </c>
      <c r="I218" s="11">
        <v>1299</v>
      </c>
      <c r="J218" s="11">
        <v>963</v>
      </c>
      <c r="K218" s="11">
        <f t="shared" si="13"/>
        <v>2598</v>
      </c>
      <c r="L218" s="11">
        <f t="shared" si="14"/>
        <v>1926</v>
      </c>
      <c r="M218" s="11">
        <f t="shared" si="15"/>
        <v>672</v>
      </c>
    </row>
    <row r="219" spans="1:13" x14ac:dyDescent="0.35">
      <c r="A219" s="9" t="s">
        <v>304</v>
      </c>
      <c r="B219" s="10">
        <v>46183</v>
      </c>
      <c r="C219" s="9" t="str">
        <f t="shared" si="12"/>
        <v>Jun</v>
      </c>
      <c r="D219" s="9" t="s">
        <v>68</v>
      </c>
      <c r="E219" s="9" t="s">
        <v>20</v>
      </c>
      <c r="F219" s="9" t="s">
        <v>21</v>
      </c>
      <c r="G219" s="9" t="s">
        <v>177</v>
      </c>
      <c r="H219" s="9">
        <v>1</v>
      </c>
      <c r="I219" s="11">
        <v>1299</v>
      </c>
      <c r="J219" s="11">
        <v>963</v>
      </c>
      <c r="K219" s="11">
        <f t="shared" si="13"/>
        <v>1299</v>
      </c>
      <c r="L219" s="11">
        <f t="shared" si="14"/>
        <v>963</v>
      </c>
      <c r="M219" s="11">
        <f t="shared" si="15"/>
        <v>336</v>
      </c>
    </row>
    <row r="220" spans="1:13" x14ac:dyDescent="0.35">
      <c r="A220" s="9" t="s">
        <v>305</v>
      </c>
      <c r="B220" s="10">
        <v>46184</v>
      </c>
      <c r="C220" s="9" t="str">
        <f t="shared" si="12"/>
        <v>Jun</v>
      </c>
      <c r="D220" s="9" t="s">
        <v>19</v>
      </c>
      <c r="E220" s="9" t="s">
        <v>46</v>
      </c>
      <c r="F220" s="9" t="s">
        <v>47</v>
      </c>
      <c r="G220" s="9" t="s">
        <v>165</v>
      </c>
      <c r="H220" s="9">
        <v>1</v>
      </c>
      <c r="I220" s="11">
        <v>2999</v>
      </c>
      <c r="J220" s="11">
        <v>2003</v>
      </c>
      <c r="K220" s="11">
        <f t="shared" si="13"/>
        <v>2999</v>
      </c>
      <c r="L220" s="11">
        <f t="shared" si="14"/>
        <v>2003</v>
      </c>
      <c r="M220" s="11">
        <f t="shared" si="15"/>
        <v>996</v>
      </c>
    </row>
    <row r="221" spans="1:13" x14ac:dyDescent="0.35">
      <c r="A221" s="9" t="s">
        <v>306</v>
      </c>
      <c r="B221" s="10">
        <v>46184</v>
      </c>
      <c r="C221" s="9" t="str">
        <f t="shared" si="12"/>
        <v>Jun</v>
      </c>
      <c r="D221" s="9" t="s">
        <v>68</v>
      </c>
      <c r="E221" s="9" t="s">
        <v>29</v>
      </c>
      <c r="F221" s="9" t="s">
        <v>75</v>
      </c>
      <c r="G221" s="9" t="s">
        <v>137</v>
      </c>
      <c r="H221" s="9">
        <v>1</v>
      </c>
      <c r="I221" s="11">
        <v>799</v>
      </c>
      <c r="J221" s="11">
        <v>443</v>
      </c>
      <c r="K221" s="11">
        <f t="shared" si="13"/>
        <v>799</v>
      </c>
      <c r="L221" s="11">
        <f t="shared" si="14"/>
        <v>443</v>
      </c>
      <c r="M221" s="11">
        <f t="shared" si="15"/>
        <v>356</v>
      </c>
    </row>
    <row r="222" spans="1:13" x14ac:dyDescent="0.35">
      <c r="A222" s="9" t="s">
        <v>307</v>
      </c>
      <c r="B222" s="10">
        <v>46185</v>
      </c>
      <c r="C222" s="9" t="str">
        <f t="shared" si="12"/>
        <v>Jun</v>
      </c>
      <c r="D222" s="9" t="s">
        <v>68</v>
      </c>
      <c r="E222" s="9" t="s">
        <v>20</v>
      </c>
      <c r="F222" s="9" t="s">
        <v>33</v>
      </c>
      <c r="G222" s="9" t="s">
        <v>38</v>
      </c>
      <c r="H222" s="9">
        <v>1</v>
      </c>
      <c r="I222" s="11">
        <v>1999</v>
      </c>
      <c r="J222" s="11">
        <v>1140</v>
      </c>
      <c r="K222" s="11">
        <f t="shared" si="13"/>
        <v>1999</v>
      </c>
      <c r="L222" s="11">
        <f t="shared" si="14"/>
        <v>1140</v>
      </c>
      <c r="M222" s="11">
        <f t="shared" si="15"/>
        <v>859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7"/>
  <sheetViews>
    <sheetView topLeftCell="A14" zoomScaleNormal="100" workbookViewId="0">
      <selection activeCell="A3" sqref="A3"/>
    </sheetView>
  </sheetViews>
  <sheetFormatPr defaultColWidth="8.6328125" defaultRowHeight="14.5" x14ac:dyDescent="0.35"/>
  <cols>
    <col min="1" max="1" width="26" customWidth="1"/>
    <col min="2" max="3" width="14" customWidth="1"/>
    <col min="4" max="4" width="10" customWidth="1"/>
  </cols>
  <sheetData>
    <row r="1" spans="1:4" ht="21" x14ac:dyDescent="0.5">
      <c r="A1" s="12" t="s">
        <v>308</v>
      </c>
    </row>
    <row r="2" spans="1:4" x14ac:dyDescent="0.35">
      <c r="A2" s="13"/>
    </row>
    <row r="4" spans="1:4" ht="15.5" x14ac:dyDescent="0.35">
      <c r="A4" s="14" t="s">
        <v>309</v>
      </c>
    </row>
    <row r="5" spans="1:4" x14ac:dyDescent="0.35">
      <c r="A5" s="8" t="s">
        <v>7</v>
      </c>
      <c r="B5" s="8" t="s">
        <v>15</v>
      </c>
      <c r="C5" s="8" t="s">
        <v>17</v>
      </c>
      <c r="D5" s="8" t="s">
        <v>310</v>
      </c>
    </row>
    <row r="6" spans="1:4" x14ac:dyDescent="0.35">
      <c r="A6" s="15" t="s">
        <v>311</v>
      </c>
      <c r="B6" s="16">
        <f>SUMIFS('Raw Data'!$K$2:$K$222,'Raw Data'!$C$2:$C$222,A6)</f>
        <v>118544</v>
      </c>
      <c r="C6" s="16">
        <f>SUMIFS('Raw Data'!$M$2:$M$222,'Raw Data'!$C$2:$C$222,A6)</f>
        <v>43884</v>
      </c>
      <c r="D6" s="15">
        <f>COUNTIFS('Raw Data'!$C$2:$C$222,A6)</f>
        <v>34</v>
      </c>
    </row>
    <row r="7" spans="1:4" x14ac:dyDescent="0.35">
      <c r="A7" s="15" t="s">
        <v>312</v>
      </c>
      <c r="B7" s="16">
        <f>SUMIFS('Raw Data'!$K$2:$K$222,'Raw Data'!$C$2:$C$222,A7)</f>
        <v>98051</v>
      </c>
      <c r="C7" s="16">
        <f>SUMIFS('Raw Data'!$M$2:$M$222,'Raw Data'!$C$2:$C$222,A7)</f>
        <v>37013</v>
      </c>
      <c r="D7" s="15">
        <f>COUNTIFS('Raw Data'!$C$2:$C$222,A7)</f>
        <v>33</v>
      </c>
    </row>
    <row r="8" spans="1:4" x14ac:dyDescent="0.35">
      <c r="A8" s="15" t="s">
        <v>313</v>
      </c>
      <c r="B8" s="16">
        <f>SUMIFS('Raw Data'!$K$2:$K$222,'Raw Data'!$C$2:$C$222,A8)</f>
        <v>151926</v>
      </c>
      <c r="C8" s="16">
        <f>SUMIFS('Raw Data'!$M$2:$M$222,'Raw Data'!$C$2:$C$222,A8)</f>
        <v>58191</v>
      </c>
      <c r="D8" s="15">
        <f>COUNTIFS('Raw Data'!$C$2:$C$222,A8)</f>
        <v>41</v>
      </c>
    </row>
    <row r="9" spans="1:4" x14ac:dyDescent="0.35">
      <c r="A9" s="15" t="s">
        <v>314</v>
      </c>
      <c r="B9" s="16">
        <f>SUMIFS('Raw Data'!$K$2:$K$222,'Raw Data'!$C$2:$C$222,A9)</f>
        <v>166621</v>
      </c>
      <c r="C9" s="16">
        <f>SUMIFS('Raw Data'!$M$2:$M$222,'Raw Data'!$C$2:$C$222,A9)</f>
        <v>62918</v>
      </c>
      <c r="D9" s="15">
        <f>COUNTIFS('Raw Data'!$C$2:$C$222,A9)</f>
        <v>47</v>
      </c>
    </row>
    <row r="10" spans="1:4" x14ac:dyDescent="0.35">
      <c r="A10" s="15" t="s">
        <v>315</v>
      </c>
      <c r="B10" s="16">
        <f>SUMIFS('Raw Data'!$K$2:$K$222,'Raw Data'!$C$2:$C$222,A10)</f>
        <v>183214</v>
      </c>
      <c r="C10" s="16">
        <f>SUMIFS('Raw Data'!$M$2:$M$222,'Raw Data'!$C$2:$C$222,A10)</f>
        <v>69632</v>
      </c>
      <c r="D10" s="15">
        <f>COUNTIFS('Raw Data'!$C$2:$C$222,A10)</f>
        <v>49</v>
      </c>
    </row>
    <row r="11" spans="1:4" x14ac:dyDescent="0.35">
      <c r="A11" s="15" t="s">
        <v>316</v>
      </c>
      <c r="B11" s="16">
        <f>SUMIFS('Raw Data'!$K$2:$K$222,'Raw Data'!$C$2:$C$222,A11)</f>
        <v>44572</v>
      </c>
      <c r="C11" s="16">
        <f>SUMIFS('Raw Data'!$M$2:$M$222,'Raw Data'!$C$2:$C$222,A11)</f>
        <v>16093</v>
      </c>
      <c r="D11" s="15">
        <f>COUNTIFS('Raw Data'!$C$2:$C$222,A11)</f>
        <v>17</v>
      </c>
    </row>
    <row r="14" spans="1:4" ht="15.5" x14ac:dyDescent="0.35">
      <c r="A14" s="14" t="s">
        <v>317</v>
      </c>
    </row>
    <row r="15" spans="1:4" x14ac:dyDescent="0.35">
      <c r="A15" s="8" t="s">
        <v>8</v>
      </c>
      <c r="B15" s="8" t="s">
        <v>15</v>
      </c>
      <c r="C15" s="8" t="s">
        <v>17</v>
      </c>
      <c r="D15" s="8" t="s">
        <v>310</v>
      </c>
    </row>
    <row r="16" spans="1:4" x14ac:dyDescent="0.35">
      <c r="A16" s="15" t="s">
        <v>24</v>
      </c>
      <c r="B16" s="16">
        <f>SUMIFS('Raw Data'!$K$2:$K$222,'Raw Data'!$D$2:$D$222,A16)</f>
        <v>219504</v>
      </c>
      <c r="C16" s="16">
        <f>SUMIFS('Raw Data'!$M$2:$M$222,'Raw Data'!$D$2:$D$222,A16)</f>
        <v>83184</v>
      </c>
      <c r="D16" s="15">
        <f>COUNTIFS('Raw Data'!$D$2:$D$222,A16)</f>
        <v>60</v>
      </c>
    </row>
    <row r="17" spans="1:4" x14ac:dyDescent="0.35">
      <c r="A17" s="15" t="s">
        <v>36</v>
      </c>
      <c r="B17" s="16">
        <f>SUMIFS('Raw Data'!$K$2:$K$222,'Raw Data'!$D$2:$D$222,A17)</f>
        <v>155321</v>
      </c>
      <c r="C17" s="16">
        <f>SUMIFS('Raw Data'!$M$2:$M$222,'Raw Data'!$D$2:$D$222,A17)</f>
        <v>57723</v>
      </c>
      <c r="D17" s="15">
        <f>COUNTIFS('Raw Data'!$D$2:$D$222,A17)</f>
        <v>46</v>
      </c>
    </row>
    <row r="18" spans="1:4" x14ac:dyDescent="0.35">
      <c r="A18" s="15" t="s">
        <v>19</v>
      </c>
      <c r="B18" s="16">
        <f>SUMIFS('Raw Data'!$K$2:$K$222,'Raw Data'!$D$2:$D$222,A18)</f>
        <v>203899</v>
      </c>
      <c r="C18" s="16">
        <f>SUMIFS('Raw Data'!$M$2:$M$222,'Raw Data'!$D$2:$D$222,A18)</f>
        <v>75808</v>
      </c>
      <c r="D18" s="15">
        <f>COUNTIFS('Raw Data'!$D$2:$D$222,A18)</f>
        <v>60</v>
      </c>
    </row>
    <row r="19" spans="1:4" x14ac:dyDescent="0.35">
      <c r="A19" s="15" t="s">
        <v>68</v>
      </c>
      <c r="B19" s="16">
        <f>SUMIFS('Raw Data'!$K$2:$K$222,'Raw Data'!$D$2:$D$222,A19)</f>
        <v>184204</v>
      </c>
      <c r="C19" s="16">
        <f>SUMIFS('Raw Data'!$M$2:$M$222,'Raw Data'!$D$2:$D$222,A19)</f>
        <v>71016</v>
      </c>
      <c r="D19" s="15">
        <f>COUNTIFS('Raw Data'!$D$2:$D$222,A19)</f>
        <v>55</v>
      </c>
    </row>
    <row r="22" spans="1:4" ht="15.5" x14ac:dyDescent="0.35">
      <c r="A22" s="14" t="s">
        <v>318</v>
      </c>
    </row>
    <row r="23" spans="1:4" x14ac:dyDescent="0.35">
      <c r="A23" s="8" t="s">
        <v>9</v>
      </c>
      <c r="B23" s="8" t="s">
        <v>15</v>
      </c>
      <c r="C23" s="8" t="s">
        <v>17</v>
      </c>
    </row>
    <row r="24" spans="1:4" x14ac:dyDescent="0.35">
      <c r="A24" s="15" t="s">
        <v>29</v>
      </c>
      <c r="B24" s="16">
        <f>SUMIFS('Raw Data'!$K$2:$K$222,'Raw Data'!$E$2:$E$222,A24)</f>
        <v>147314</v>
      </c>
      <c r="C24" s="16">
        <f>SUMIFS('Raw Data'!$M$2:$M$222,'Raw Data'!$E$2:$E$222,A24)</f>
        <v>59003</v>
      </c>
    </row>
    <row r="25" spans="1:4" x14ac:dyDescent="0.35">
      <c r="A25" s="15" t="s">
        <v>40</v>
      </c>
      <c r="B25" s="16">
        <f>SUMIFS('Raw Data'!$K$2:$K$222,'Raw Data'!$E$2:$E$222,A25)</f>
        <v>185219</v>
      </c>
      <c r="C25" s="16">
        <f>SUMIFS('Raw Data'!$M$2:$M$222,'Raw Data'!$E$2:$E$222,A25)</f>
        <v>70633</v>
      </c>
    </row>
    <row r="26" spans="1:4" x14ac:dyDescent="0.35">
      <c r="A26" s="15" t="s">
        <v>46</v>
      </c>
      <c r="B26" s="16">
        <f>SUMIFS('Raw Data'!$K$2:$K$222,'Raw Data'!$E$2:$E$222,A26)</f>
        <v>269419</v>
      </c>
      <c r="C26" s="16">
        <f>SUMIFS('Raw Data'!$M$2:$M$222,'Raw Data'!$E$2:$E$222,A26)</f>
        <v>100709</v>
      </c>
    </row>
    <row r="27" spans="1:4" x14ac:dyDescent="0.35">
      <c r="A27" s="15" t="s">
        <v>25</v>
      </c>
      <c r="B27" s="16">
        <f>SUMIFS('Raw Data'!$K$2:$K$222,'Raw Data'!$E$2:$E$222,A27)</f>
        <v>102413</v>
      </c>
      <c r="C27" s="16">
        <f>SUMIFS('Raw Data'!$M$2:$M$222,'Raw Data'!$E$2:$E$222,A27)</f>
        <v>37109</v>
      </c>
    </row>
    <row r="28" spans="1:4" x14ac:dyDescent="0.35">
      <c r="A28" s="15" t="s">
        <v>20</v>
      </c>
      <c r="B28" s="16">
        <f>SUMIFS('Raw Data'!$K$2:$K$222,'Raw Data'!$E$2:$E$222,A28)</f>
        <v>58563</v>
      </c>
      <c r="C28" s="16">
        <f>SUMIFS('Raw Data'!$M$2:$M$222,'Raw Data'!$E$2:$E$222,A28)</f>
        <v>20277</v>
      </c>
    </row>
    <row r="31" spans="1:4" ht="15.5" x14ac:dyDescent="0.35">
      <c r="A31" s="14" t="s">
        <v>319</v>
      </c>
    </row>
    <row r="32" spans="1:4" x14ac:dyDescent="0.35">
      <c r="A32" s="8" t="s">
        <v>10</v>
      </c>
      <c r="B32" s="8" t="s">
        <v>15</v>
      </c>
      <c r="C32" s="8" t="s">
        <v>320</v>
      </c>
    </row>
    <row r="33" spans="1:3" x14ac:dyDescent="0.35">
      <c r="A33" s="15" t="s">
        <v>65</v>
      </c>
      <c r="B33" s="16">
        <f>SUMIFS('Raw Data'!$K$2:$K$222,'Raw Data'!$F$2:$F$222,A33)</f>
        <v>111968</v>
      </c>
      <c r="C33" s="15">
        <f>SUMIFS('Raw Data'!$H$2:$H$222,'Raw Data'!$F$2:$F$222,A33)</f>
        <v>32</v>
      </c>
    </row>
    <row r="34" spans="1:3" x14ac:dyDescent="0.35">
      <c r="A34" s="15" t="s">
        <v>41</v>
      </c>
      <c r="B34" s="16">
        <f>SUMIFS('Raw Data'!$K$2:$K$222,'Raw Data'!$F$2:$F$222,A34)</f>
        <v>94473</v>
      </c>
      <c r="C34" s="15">
        <f>SUMIFS('Raw Data'!$H$2:$H$222,'Raw Data'!$F$2:$F$222,A34)</f>
        <v>27</v>
      </c>
    </row>
    <row r="35" spans="1:3" x14ac:dyDescent="0.35">
      <c r="A35" s="15" t="s">
        <v>47</v>
      </c>
      <c r="B35" s="16">
        <f>SUMIFS('Raw Data'!$K$2:$K$222,'Raw Data'!$F$2:$F$222,A35)</f>
        <v>83972</v>
      </c>
      <c r="C35" s="15">
        <f>SUMIFS('Raw Data'!$H$2:$H$222,'Raw Data'!$F$2:$F$222,A35)</f>
        <v>28</v>
      </c>
    </row>
    <row r="36" spans="1:3" x14ac:dyDescent="0.35">
      <c r="A36" s="15" t="s">
        <v>51</v>
      </c>
      <c r="B36" s="16">
        <f>SUMIFS('Raw Data'!$K$2:$K$222,'Raw Data'!$F$2:$F$222,A36)</f>
        <v>73479</v>
      </c>
      <c r="C36" s="15">
        <f>SUMIFS('Raw Data'!$H$2:$H$222,'Raw Data'!$F$2:$F$222,A36)</f>
        <v>21</v>
      </c>
    </row>
    <row r="37" spans="1:3" x14ac:dyDescent="0.35">
      <c r="A37" s="15" t="s">
        <v>54</v>
      </c>
      <c r="B37" s="16">
        <f>SUMIFS('Raw Data'!$K$2:$K$222,'Raw Data'!$F$2:$F$222,A37)</f>
        <v>73479</v>
      </c>
      <c r="C37" s="15">
        <f>SUMIFS('Raw Data'!$H$2:$H$222,'Raw Data'!$F$2:$F$222,A37)</f>
        <v>21</v>
      </c>
    </row>
    <row r="38" spans="1:3" x14ac:dyDescent="0.35">
      <c r="A38" s="15" t="s">
        <v>113</v>
      </c>
      <c r="B38" s="16">
        <f>SUMIFS('Raw Data'!$K$2:$K$222,'Raw Data'!$F$2:$F$222,A38)</f>
        <v>69972</v>
      </c>
      <c r="C38" s="15">
        <f>SUMIFS('Raw Data'!$H$2:$H$222,'Raw Data'!$F$2:$F$222,A38)</f>
        <v>28</v>
      </c>
    </row>
    <row r="39" spans="1:3" x14ac:dyDescent="0.35">
      <c r="A39" s="15" t="s">
        <v>26</v>
      </c>
      <c r="B39" s="16">
        <f>SUMIFS('Raw Data'!$K$2:$K$222,'Raw Data'!$F$2:$F$222,A39)</f>
        <v>65967</v>
      </c>
      <c r="C39" s="15">
        <f>SUMIFS('Raw Data'!$H$2:$H$222,'Raw Data'!$F$2:$F$222,A39)</f>
        <v>33</v>
      </c>
    </row>
    <row r="40" spans="1:3" x14ac:dyDescent="0.35">
      <c r="A40" s="15" t="s">
        <v>30</v>
      </c>
      <c r="B40" s="16">
        <f>SUMIFS('Raw Data'!$K$2:$K$222,'Raw Data'!$F$2:$F$222,A40)</f>
        <v>34477</v>
      </c>
      <c r="C40" s="15">
        <f>SUMIFS('Raw Data'!$H$2:$H$222,'Raw Data'!$F$2:$F$222,A40)</f>
        <v>23</v>
      </c>
    </row>
    <row r="41" spans="1:3" x14ac:dyDescent="0.35">
      <c r="A41" s="15" t="s">
        <v>33</v>
      </c>
      <c r="B41" s="16">
        <f>SUMIFS('Raw Data'!$K$2:$K$222,'Raw Data'!$F$2:$F$222,A41)</f>
        <v>29985</v>
      </c>
      <c r="C41" s="15">
        <f>SUMIFS('Raw Data'!$H$2:$H$222,'Raw Data'!$F$2:$F$222,A41)</f>
        <v>15</v>
      </c>
    </row>
    <row r="42" spans="1:3" x14ac:dyDescent="0.35">
      <c r="A42" s="15" t="s">
        <v>58</v>
      </c>
      <c r="B42" s="16">
        <f>SUMIFS('Raw Data'!$K$2:$K$222,'Raw Data'!$F$2:$F$222,A42)</f>
        <v>28971</v>
      </c>
      <c r="C42" s="15">
        <f>SUMIFS('Raw Data'!$H$2:$H$222,'Raw Data'!$F$2:$F$222,A42)</f>
        <v>29</v>
      </c>
    </row>
    <row r="43" spans="1:3" x14ac:dyDescent="0.35">
      <c r="A43" s="15" t="s">
        <v>21</v>
      </c>
      <c r="B43" s="16">
        <f>SUMIFS('Raw Data'!$K$2:$K$222,'Raw Data'!$F$2:$F$222,A43)</f>
        <v>28578</v>
      </c>
      <c r="C43" s="15">
        <f>SUMIFS('Raw Data'!$H$2:$H$222,'Raw Data'!$F$2:$F$222,A43)</f>
        <v>22</v>
      </c>
    </row>
    <row r="44" spans="1:3" x14ac:dyDescent="0.35">
      <c r="A44" s="15" t="s">
        <v>43</v>
      </c>
      <c r="B44" s="16">
        <f>SUMIFS('Raw Data'!$K$2:$K$222,'Raw Data'!$F$2:$F$222,A44)</f>
        <v>20774</v>
      </c>
      <c r="C44" s="15">
        <f>SUMIFS('Raw Data'!$H$2:$H$222,'Raw Data'!$F$2:$F$222,A44)</f>
        <v>26</v>
      </c>
    </row>
    <row r="45" spans="1:3" x14ac:dyDescent="0.35">
      <c r="A45" s="15" t="s">
        <v>61</v>
      </c>
      <c r="B45" s="16">
        <f>SUMIFS('Raw Data'!$K$2:$K$222,'Raw Data'!$F$2:$F$222,A45)</f>
        <v>18981</v>
      </c>
      <c r="C45" s="15">
        <f>SUMIFS('Raw Data'!$H$2:$H$222,'Raw Data'!$F$2:$F$222,A45)</f>
        <v>19</v>
      </c>
    </row>
    <row r="46" spans="1:3" x14ac:dyDescent="0.35">
      <c r="A46" s="15" t="s">
        <v>37</v>
      </c>
      <c r="B46" s="16">
        <f>SUMIFS('Raw Data'!$K$2:$K$222,'Raw Data'!$F$2:$F$222,A46)</f>
        <v>17465</v>
      </c>
      <c r="C46" s="15">
        <f>SUMIFS('Raw Data'!$H$2:$H$222,'Raw Data'!$F$2:$F$222,A46)</f>
        <v>35</v>
      </c>
    </row>
    <row r="47" spans="1:3" x14ac:dyDescent="0.35">
      <c r="A47" s="15" t="s">
        <v>75</v>
      </c>
      <c r="B47" s="16">
        <f>SUMIFS('Raw Data'!$K$2:$K$222,'Raw Data'!$F$2:$F$222,A47)</f>
        <v>10387</v>
      </c>
      <c r="C47" s="15">
        <f>SUMIFS('Raw Data'!$H$2:$H$222,'Raw Data'!$F$2:$F$222,A47)</f>
        <v>13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59"/>
  <sheetViews>
    <sheetView zoomScaleNormal="100" workbookViewId="0">
      <pane ySplit="5" topLeftCell="A6" activePane="bottomLeft" state="frozen"/>
      <selection pane="bottomLeft" activeCell="C4" sqref="C4"/>
    </sheetView>
  </sheetViews>
  <sheetFormatPr defaultColWidth="8.6328125" defaultRowHeight="14.5" x14ac:dyDescent="0.35"/>
  <cols>
    <col min="1" max="1" width="14" customWidth="1"/>
    <col min="2" max="2" width="18" customWidth="1"/>
    <col min="3" max="3" width="14" customWidth="1"/>
    <col min="4" max="4" width="16" customWidth="1"/>
    <col min="5" max="5" width="14" customWidth="1"/>
    <col min="6" max="6" width="18" customWidth="1"/>
    <col min="7" max="7" width="12" customWidth="1"/>
  </cols>
  <sheetData>
    <row r="1" spans="1:10" ht="21" x14ac:dyDescent="0.5">
      <c r="A1" s="12" t="s">
        <v>321</v>
      </c>
    </row>
    <row r="3" spans="1:10" x14ac:dyDescent="0.35">
      <c r="A3" s="17" t="s">
        <v>322</v>
      </c>
      <c r="B3" s="18">
        <v>46186</v>
      </c>
    </row>
    <row r="5" spans="1:10" ht="29" x14ac:dyDescent="0.35">
      <c r="A5" s="8" t="s">
        <v>11</v>
      </c>
      <c r="B5" s="8" t="s">
        <v>323</v>
      </c>
      <c r="C5" s="8" t="s">
        <v>324</v>
      </c>
      <c r="D5" s="8" t="s">
        <v>325</v>
      </c>
      <c r="E5" s="8" t="s">
        <v>326</v>
      </c>
      <c r="F5" s="8" t="s">
        <v>327</v>
      </c>
      <c r="G5" s="8" t="s">
        <v>328</v>
      </c>
      <c r="I5" s="19" t="s">
        <v>329</v>
      </c>
    </row>
    <row r="6" spans="1:10" ht="29" x14ac:dyDescent="0.35">
      <c r="A6" s="15" t="s">
        <v>94</v>
      </c>
      <c r="B6" s="20">
        <f>_xlfn.MAXIFS('Raw Data'!$B$2:$B$222,'Raw Data'!$G$2:$G$222,A6)</f>
        <v>46126</v>
      </c>
      <c r="C6" s="15">
        <f t="shared" ref="C6:C50" si="0">$B$3-B6</f>
        <v>60</v>
      </c>
      <c r="D6" s="15">
        <f>COUNTIFS('Raw Data'!$G$2:$G$222,A6)</f>
        <v>2</v>
      </c>
      <c r="E6" s="16">
        <f>SUMIFS('Raw Data'!$K$2:$K$222,'Raw Data'!$G$2:$G$222,A6)</f>
        <v>3997</v>
      </c>
      <c r="F6" s="15" t="str">
        <f t="shared" ref="F6:F50" si="1">IF(AND(C6&lt;=30,D6&gt;=6),"Champion",IF(AND(C6&lt;=45,D6&gt;=4),"Loyal",IF(AND(C6&lt;=60,D6&gt;=2),"Potential Loyalist",IF(C6&lt;=75,"At Risk","Lost"))))</f>
        <v>Potential Loyalist</v>
      </c>
      <c r="G6" s="15" t="str">
        <f t="shared" ref="G6:G50" si="2">IF(C6&gt;60,"High",""&amp;IF(C6&gt;35,"Medium","Low"))</f>
        <v>Medium</v>
      </c>
      <c r="I6" s="8" t="s">
        <v>330</v>
      </c>
      <c r="J6" s="8" t="s">
        <v>331</v>
      </c>
    </row>
    <row r="7" spans="1:10" x14ac:dyDescent="0.35">
      <c r="A7" s="15" t="s">
        <v>258</v>
      </c>
      <c r="B7" s="20">
        <f>_xlfn.MAXIFS('Raw Data'!$B$2:$B$222,'Raw Data'!$G$2:$G$222,A7)</f>
        <v>46153</v>
      </c>
      <c r="C7" s="15">
        <f t="shared" si="0"/>
        <v>33</v>
      </c>
      <c r="D7" s="15">
        <f>COUNTIFS('Raw Data'!$G$2:$G$222,A7)</f>
        <v>1</v>
      </c>
      <c r="E7" s="16">
        <f>SUMIFS('Raw Data'!$K$2:$K$222,'Raw Data'!$G$2:$G$222,A7)</f>
        <v>799</v>
      </c>
      <c r="F7" s="15" t="str">
        <f t="shared" si="1"/>
        <v>At Risk</v>
      </c>
      <c r="G7" s="15" t="str">
        <f t="shared" si="2"/>
        <v>Low</v>
      </c>
      <c r="I7" s="15" t="s">
        <v>332</v>
      </c>
      <c r="J7" s="15">
        <f>COUNTIF(G6:G50,"High")</f>
        <v>6</v>
      </c>
    </row>
    <row r="8" spans="1:10" x14ac:dyDescent="0.35">
      <c r="A8" s="15" t="s">
        <v>96</v>
      </c>
      <c r="B8" s="20">
        <f>_xlfn.MAXIFS('Raw Data'!$B$2:$B$222,'Raw Data'!$G$2:$G$222,A8)</f>
        <v>46167</v>
      </c>
      <c r="C8" s="15">
        <f t="shared" si="0"/>
        <v>19</v>
      </c>
      <c r="D8" s="15">
        <f>COUNTIFS('Raw Data'!$G$2:$G$222,A8)</f>
        <v>6</v>
      </c>
      <c r="E8" s="16">
        <f>SUMIFS('Raw Data'!$K$2:$K$222,'Raw Data'!$G$2:$G$222,A8)</f>
        <v>22992</v>
      </c>
      <c r="F8" s="15" t="str">
        <f t="shared" si="1"/>
        <v>Champion</v>
      </c>
      <c r="G8" s="15" t="str">
        <f t="shared" si="2"/>
        <v>Low</v>
      </c>
      <c r="I8" s="15" t="s">
        <v>333</v>
      </c>
      <c r="J8" s="15">
        <f>COUNTIF(G6:G50,"Medium")</f>
        <v>6</v>
      </c>
    </row>
    <row r="9" spans="1:10" x14ac:dyDescent="0.35">
      <c r="A9" s="15" t="s">
        <v>66</v>
      </c>
      <c r="B9" s="20">
        <f>_xlfn.MAXIFS('Raw Data'!$B$2:$B$222,'Raw Data'!$G$2:$G$222,A9)</f>
        <v>46176</v>
      </c>
      <c r="C9" s="15">
        <f t="shared" si="0"/>
        <v>10</v>
      </c>
      <c r="D9" s="15">
        <f>COUNTIFS('Raw Data'!$G$2:$G$222,A9)</f>
        <v>5</v>
      </c>
      <c r="E9" s="16">
        <f>SUMIFS('Raw Data'!$K$2:$K$222,'Raw Data'!$G$2:$G$222,A9)</f>
        <v>12294</v>
      </c>
      <c r="F9" s="15" t="str">
        <f t="shared" si="1"/>
        <v>Loyal</v>
      </c>
      <c r="G9" s="15" t="str">
        <f t="shared" si="2"/>
        <v>Low</v>
      </c>
      <c r="I9" s="15" t="s">
        <v>334</v>
      </c>
      <c r="J9" s="15">
        <f>COUNTIF(G6:G50,"Low")</f>
        <v>33</v>
      </c>
    </row>
    <row r="10" spans="1:10" x14ac:dyDescent="0.35">
      <c r="A10" s="15" t="s">
        <v>85</v>
      </c>
      <c r="B10" s="20">
        <f>_xlfn.MAXIFS('Raw Data'!$B$2:$B$222,'Raw Data'!$G$2:$G$222,A10)</f>
        <v>46182</v>
      </c>
      <c r="C10" s="15">
        <f t="shared" si="0"/>
        <v>4</v>
      </c>
      <c r="D10" s="15">
        <f>COUNTIFS('Raw Data'!$G$2:$G$222,A10)</f>
        <v>8</v>
      </c>
      <c r="E10" s="16">
        <f>SUMIFS('Raw Data'!$K$2:$K$222,'Raw Data'!$G$2:$G$222,A10)</f>
        <v>26387</v>
      </c>
      <c r="F10" s="15" t="str">
        <f t="shared" si="1"/>
        <v>Champion</v>
      </c>
      <c r="G10" s="15" t="str">
        <f t="shared" si="2"/>
        <v>Low</v>
      </c>
    </row>
    <row r="11" spans="1:10" x14ac:dyDescent="0.35">
      <c r="A11" s="15" t="s">
        <v>108</v>
      </c>
      <c r="B11" s="20">
        <f>_xlfn.MAXIFS('Raw Data'!$B$2:$B$222,'Raw Data'!$G$2:$G$222,A11)</f>
        <v>46155</v>
      </c>
      <c r="C11" s="15">
        <f t="shared" si="0"/>
        <v>31</v>
      </c>
      <c r="D11" s="15">
        <f>COUNTIFS('Raw Data'!$G$2:$G$222,A11)</f>
        <v>3</v>
      </c>
      <c r="E11" s="16">
        <f>SUMIFS('Raw Data'!$K$2:$K$222,'Raw Data'!$G$2:$G$222,A11)</f>
        <v>11294</v>
      </c>
      <c r="F11" s="15" t="str">
        <f t="shared" si="1"/>
        <v>Potential Loyalist</v>
      </c>
      <c r="G11" s="15" t="str">
        <f t="shared" si="2"/>
        <v>Low</v>
      </c>
    </row>
    <row r="12" spans="1:10" x14ac:dyDescent="0.35">
      <c r="A12" s="15" t="s">
        <v>177</v>
      </c>
      <c r="B12" s="20">
        <f>_xlfn.MAXIFS('Raw Data'!$B$2:$B$222,'Raw Data'!$G$2:$G$222,A12)</f>
        <v>46183</v>
      </c>
      <c r="C12" s="15">
        <f t="shared" si="0"/>
        <v>3</v>
      </c>
      <c r="D12" s="15">
        <f>COUNTIFS('Raw Data'!$G$2:$G$222,A12)</f>
        <v>5</v>
      </c>
      <c r="E12" s="16">
        <f>SUMIFS('Raw Data'!$K$2:$K$222,'Raw Data'!$G$2:$G$222,A12)</f>
        <v>5793</v>
      </c>
      <c r="F12" s="15" t="str">
        <f t="shared" si="1"/>
        <v>Loyal</v>
      </c>
      <c r="G12" s="15" t="str">
        <f t="shared" si="2"/>
        <v>Low</v>
      </c>
    </row>
    <row r="13" spans="1:10" x14ac:dyDescent="0.35">
      <c r="A13" s="15" t="s">
        <v>140</v>
      </c>
      <c r="B13" s="20">
        <f>_xlfn.MAXIFS('Raw Data'!$B$2:$B$222,'Raw Data'!$G$2:$G$222,A13)</f>
        <v>46143</v>
      </c>
      <c r="C13" s="15">
        <f t="shared" si="0"/>
        <v>43</v>
      </c>
      <c r="D13" s="15">
        <f>COUNTIFS('Raw Data'!$G$2:$G$222,A13)</f>
        <v>4</v>
      </c>
      <c r="E13" s="16">
        <f>SUMIFS('Raw Data'!$K$2:$K$222,'Raw Data'!$G$2:$G$222,A13)</f>
        <v>14793</v>
      </c>
      <c r="F13" s="15" t="str">
        <f t="shared" si="1"/>
        <v>Loyal</v>
      </c>
      <c r="G13" s="15" t="str">
        <f t="shared" si="2"/>
        <v>Medium</v>
      </c>
    </row>
    <row r="14" spans="1:10" x14ac:dyDescent="0.35">
      <c r="A14" s="15" t="s">
        <v>59</v>
      </c>
      <c r="B14" s="20">
        <f>_xlfn.MAXIFS('Raw Data'!$B$2:$B$222,'Raw Data'!$G$2:$G$222,A14)</f>
        <v>46121</v>
      </c>
      <c r="C14" s="15">
        <f t="shared" si="0"/>
        <v>65</v>
      </c>
      <c r="D14" s="15">
        <f>COUNTIFS('Raw Data'!$G$2:$G$222,A14)</f>
        <v>4</v>
      </c>
      <c r="E14" s="16">
        <f>SUMIFS('Raw Data'!$K$2:$K$222,'Raw Data'!$G$2:$G$222,A14)</f>
        <v>7094</v>
      </c>
      <c r="F14" s="15" t="str">
        <f t="shared" si="1"/>
        <v>At Risk</v>
      </c>
      <c r="G14" s="15" t="str">
        <f t="shared" si="2"/>
        <v>High</v>
      </c>
    </row>
    <row r="15" spans="1:10" x14ac:dyDescent="0.35">
      <c r="A15" s="15" t="s">
        <v>79</v>
      </c>
      <c r="B15" s="20">
        <f>_xlfn.MAXIFS('Raw Data'!$B$2:$B$222,'Raw Data'!$G$2:$G$222,A15)</f>
        <v>46165</v>
      </c>
      <c r="C15" s="15">
        <f t="shared" si="0"/>
        <v>21</v>
      </c>
      <c r="D15" s="15">
        <f>COUNTIFS('Raw Data'!$G$2:$G$222,A15)</f>
        <v>4</v>
      </c>
      <c r="E15" s="16">
        <f>SUMIFS('Raw Data'!$K$2:$K$222,'Raw Data'!$G$2:$G$222,A15)</f>
        <v>9495</v>
      </c>
      <c r="F15" s="15" t="str">
        <f t="shared" si="1"/>
        <v>Loyal</v>
      </c>
      <c r="G15" s="15" t="str">
        <f t="shared" si="2"/>
        <v>Low</v>
      </c>
    </row>
    <row r="16" spans="1:10" x14ac:dyDescent="0.35">
      <c r="A16" s="15" t="s">
        <v>130</v>
      </c>
      <c r="B16" s="20">
        <f>_xlfn.MAXIFS('Raw Data'!$B$2:$B$222,'Raw Data'!$G$2:$G$222,A16)</f>
        <v>46177</v>
      </c>
      <c r="C16" s="15">
        <f t="shared" si="0"/>
        <v>9</v>
      </c>
      <c r="D16" s="15">
        <f>COUNTIFS('Raw Data'!$G$2:$G$222,A16)</f>
        <v>6</v>
      </c>
      <c r="E16" s="16">
        <f>SUMIFS('Raw Data'!$K$2:$K$222,'Raw Data'!$G$2:$G$222,A16)</f>
        <v>21590</v>
      </c>
      <c r="F16" s="15" t="str">
        <f t="shared" si="1"/>
        <v>Champion</v>
      </c>
      <c r="G16" s="15" t="str">
        <f t="shared" si="2"/>
        <v>Low</v>
      </c>
    </row>
    <row r="17" spans="1:7" x14ac:dyDescent="0.35">
      <c r="A17" s="15" t="s">
        <v>147</v>
      </c>
      <c r="B17" s="20">
        <f>_xlfn.MAXIFS('Raw Data'!$B$2:$B$222,'Raw Data'!$G$2:$G$222,A17)</f>
        <v>46154</v>
      </c>
      <c r="C17" s="15">
        <f t="shared" si="0"/>
        <v>32</v>
      </c>
      <c r="D17" s="15">
        <f>COUNTIFS('Raw Data'!$G$2:$G$222,A17)</f>
        <v>2</v>
      </c>
      <c r="E17" s="16">
        <f>SUMIFS('Raw Data'!$K$2:$K$222,'Raw Data'!$G$2:$G$222,A17)</f>
        <v>8596</v>
      </c>
      <c r="F17" s="15" t="str">
        <f t="shared" si="1"/>
        <v>Potential Loyalist</v>
      </c>
      <c r="G17" s="15" t="str">
        <f t="shared" si="2"/>
        <v>Low</v>
      </c>
    </row>
    <row r="18" spans="1:7" x14ac:dyDescent="0.35">
      <c r="A18" s="15" t="s">
        <v>104</v>
      </c>
      <c r="B18" s="20">
        <f>_xlfn.MAXIFS('Raw Data'!$B$2:$B$222,'Raw Data'!$G$2:$G$222,A18)</f>
        <v>46183</v>
      </c>
      <c r="C18" s="15">
        <f t="shared" si="0"/>
        <v>3</v>
      </c>
      <c r="D18" s="15">
        <f>COUNTIFS('Raw Data'!$G$2:$G$222,A18)</f>
        <v>6</v>
      </c>
      <c r="E18" s="16">
        <f>SUMIFS('Raw Data'!$K$2:$K$222,'Raw Data'!$G$2:$G$222,A18)</f>
        <v>22090</v>
      </c>
      <c r="F18" s="15" t="str">
        <f t="shared" si="1"/>
        <v>Champion</v>
      </c>
      <c r="G18" s="15" t="str">
        <f t="shared" si="2"/>
        <v>Low</v>
      </c>
    </row>
    <row r="19" spans="1:7" x14ac:dyDescent="0.35">
      <c r="A19" s="15" t="s">
        <v>44</v>
      </c>
      <c r="B19" s="20">
        <f>_xlfn.MAXIFS('Raw Data'!$B$2:$B$222,'Raw Data'!$G$2:$G$222,A19)</f>
        <v>46160</v>
      </c>
      <c r="C19" s="15">
        <f t="shared" si="0"/>
        <v>26</v>
      </c>
      <c r="D19" s="15">
        <f>COUNTIFS('Raw Data'!$G$2:$G$222,A19)</f>
        <v>6</v>
      </c>
      <c r="E19" s="16">
        <f>SUMIFS('Raw Data'!$K$2:$K$222,'Raw Data'!$G$2:$G$222,A19)</f>
        <v>14788</v>
      </c>
      <c r="F19" s="15" t="str">
        <f t="shared" si="1"/>
        <v>Champion</v>
      </c>
      <c r="G19" s="15" t="str">
        <f t="shared" si="2"/>
        <v>Low</v>
      </c>
    </row>
    <row r="20" spans="1:7" x14ac:dyDescent="0.35">
      <c r="A20" s="15" t="s">
        <v>152</v>
      </c>
      <c r="B20" s="20">
        <f>_xlfn.MAXIFS('Raw Data'!$B$2:$B$222,'Raw Data'!$G$2:$G$222,A20)</f>
        <v>46162</v>
      </c>
      <c r="C20" s="15">
        <f t="shared" si="0"/>
        <v>24</v>
      </c>
      <c r="D20" s="15">
        <f>COUNTIFS('Raw Data'!$G$2:$G$222,A20)</f>
        <v>3</v>
      </c>
      <c r="E20" s="16">
        <f>SUMIFS('Raw Data'!$K$2:$K$222,'Raw Data'!$G$2:$G$222,A20)</f>
        <v>7296</v>
      </c>
      <c r="F20" s="15" t="str">
        <f t="shared" si="1"/>
        <v>Potential Loyalist</v>
      </c>
      <c r="G20" s="15" t="str">
        <f t="shared" si="2"/>
        <v>Low</v>
      </c>
    </row>
    <row r="21" spans="1:7" x14ac:dyDescent="0.35">
      <c r="A21" s="15" t="s">
        <v>125</v>
      </c>
      <c r="B21" s="20">
        <f>_xlfn.MAXIFS('Raw Data'!$B$2:$B$222,'Raw Data'!$G$2:$G$222,A21)</f>
        <v>46174</v>
      </c>
      <c r="C21" s="15">
        <f t="shared" si="0"/>
        <v>12</v>
      </c>
      <c r="D21" s="15">
        <f>COUNTIFS('Raw Data'!$G$2:$G$222,A21)</f>
        <v>8</v>
      </c>
      <c r="E21" s="16">
        <f>SUMIFS('Raw Data'!$K$2:$K$222,'Raw Data'!$G$2:$G$222,A21)</f>
        <v>26486</v>
      </c>
      <c r="F21" s="15" t="str">
        <f t="shared" si="1"/>
        <v>Champion</v>
      </c>
      <c r="G21" s="15" t="str">
        <f t="shared" si="2"/>
        <v>Low</v>
      </c>
    </row>
    <row r="22" spans="1:7" x14ac:dyDescent="0.35">
      <c r="A22" s="15" t="s">
        <v>123</v>
      </c>
      <c r="B22" s="20">
        <f>_xlfn.MAXIFS('Raw Data'!$B$2:$B$222,'Raw Data'!$G$2:$G$222,A22)</f>
        <v>46179</v>
      </c>
      <c r="C22" s="15">
        <f t="shared" si="0"/>
        <v>7</v>
      </c>
      <c r="D22" s="15">
        <f>COUNTIFS('Raw Data'!$G$2:$G$222,A22)</f>
        <v>3</v>
      </c>
      <c r="E22" s="16">
        <f>SUMIFS('Raw Data'!$K$2:$K$222,'Raw Data'!$G$2:$G$222,A22)</f>
        <v>15493</v>
      </c>
      <c r="F22" s="15" t="str">
        <f t="shared" si="1"/>
        <v>Potential Loyalist</v>
      </c>
      <c r="G22" s="15" t="str">
        <f t="shared" si="2"/>
        <v>Low</v>
      </c>
    </row>
    <row r="23" spans="1:7" x14ac:dyDescent="0.35">
      <c r="A23" s="15" t="s">
        <v>137</v>
      </c>
      <c r="B23" s="20">
        <f>_xlfn.MAXIFS('Raw Data'!$B$2:$B$222,'Raw Data'!$G$2:$G$222,A23)</f>
        <v>46184</v>
      </c>
      <c r="C23" s="15">
        <f t="shared" si="0"/>
        <v>2</v>
      </c>
      <c r="D23" s="15">
        <f>COUNTIFS('Raw Data'!$G$2:$G$222,A23)</f>
        <v>7</v>
      </c>
      <c r="E23" s="16">
        <f>SUMIFS('Raw Data'!$K$2:$K$222,'Raw Data'!$G$2:$G$222,A23)</f>
        <v>16391</v>
      </c>
      <c r="F23" s="15" t="str">
        <f t="shared" si="1"/>
        <v>Champion</v>
      </c>
      <c r="G23" s="15" t="str">
        <f t="shared" si="2"/>
        <v>Low</v>
      </c>
    </row>
    <row r="24" spans="1:7" x14ac:dyDescent="0.35">
      <c r="A24" s="15" t="s">
        <v>38</v>
      </c>
      <c r="B24" s="20">
        <f>_xlfn.MAXIFS('Raw Data'!$B$2:$B$222,'Raw Data'!$G$2:$G$222,A24)</f>
        <v>46185</v>
      </c>
      <c r="C24" s="15">
        <f t="shared" si="0"/>
        <v>1</v>
      </c>
      <c r="D24" s="15">
        <f>COUNTIFS('Raw Data'!$G$2:$G$222,A24)</f>
        <v>6</v>
      </c>
      <c r="E24" s="16">
        <f>SUMIFS('Raw Data'!$K$2:$K$222,'Raw Data'!$G$2:$G$222,A24)</f>
        <v>25490</v>
      </c>
      <c r="F24" s="15" t="str">
        <f t="shared" si="1"/>
        <v>Champion</v>
      </c>
      <c r="G24" s="15" t="str">
        <f t="shared" si="2"/>
        <v>Low</v>
      </c>
    </row>
    <row r="25" spans="1:7" x14ac:dyDescent="0.35">
      <c r="A25" s="15" t="s">
        <v>83</v>
      </c>
      <c r="B25" s="20">
        <f>_xlfn.MAXIFS('Raw Data'!$B$2:$B$222,'Raw Data'!$G$2:$G$222,A25)</f>
        <v>46122</v>
      </c>
      <c r="C25" s="15">
        <f t="shared" si="0"/>
        <v>64</v>
      </c>
      <c r="D25" s="15">
        <f>COUNTIFS('Raw Data'!$G$2:$G$222,A25)</f>
        <v>5</v>
      </c>
      <c r="E25" s="16">
        <f>SUMIFS('Raw Data'!$K$2:$K$222,'Raw Data'!$G$2:$G$222,A25)</f>
        <v>7993</v>
      </c>
      <c r="F25" s="15" t="str">
        <f t="shared" si="1"/>
        <v>At Risk</v>
      </c>
      <c r="G25" s="15" t="str">
        <f t="shared" si="2"/>
        <v>High</v>
      </c>
    </row>
    <row r="26" spans="1:7" x14ac:dyDescent="0.35">
      <c r="A26" s="15" t="s">
        <v>55</v>
      </c>
      <c r="B26" s="20">
        <f>_xlfn.MAXIFS('Raw Data'!$B$2:$B$222,'Raw Data'!$G$2:$G$222,A26)</f>
        <v>46167</v>
      </c>
      <c r="C26" s="15">
        <f t="shared" si="0"/>
        <v>19</v>
      </c>
      <c r="D26" s="15">
        <f>COUNTIFS('Raw Data'!$G$2:$G$222,A26)</f>
        <v>5</v>
      </c>
      <c r="E26" s="16">
        <f>SUMIFS('Raw Data'!$K$2:$K$222,'Raw Data'!$G$2:$G$222,A26)</f>
        <v>19293</v>
      </c>
      <c r="F26" s="15" t="str">
        <f t="shared" si="1"/>
        <v>Loyal</v>
      </c>
      <c r="G26" s="15" t="str">
        <f t="shared" si="2"/>
        <v>Low</v>
      </c>
    </row>
    <row r="27" spans="1:7" x14ac:dyDescent="0.35">
      <c r="A27" s="15" t="s">
        <v>92</v>
      </c>
      <c r="B27" s="20">
        <f>_xlfn.MAXIFS('Raw Data'!$B$2:$B$222,'Raw Data'!$G$2:$G$222,A27)</f>
        <v>46171</v>
      </c>
      <c r="C27" s="15">
        <f t="shared" si="0"/>
        <v>15</v>
      </c>
      <c r="D27" s="15">
        <f>COUNTIFS('Raw Data'!$G$2:$G$222,A27)</f>
        <v>10</v>
      </c>
      <c r="E27" s="16">
        <f>SUMIFS('Raw Data'!$K$2:$K$222,'Raw Data'!$G$2:$G$222,A27)</f>
        <v>38685</v>
      </c>
      <c r="F27" s="15" t="str">
        <f t="shared" si="1"/>
        <v>Champion</v>
      </c>
      <c r="G27" s="15" t="str">
        <f t="shared" si="2"/>
        <v>Low</v>
      </c>
    </row>
    <row r="28" spans="1:7" x14ac:dyDescent="0.35">
      <c r="A28" s="15" t="s">
        <v>101</v>
      </c>
      <c r="B28" s="20">
        <f>_xlfn.MAXIFS('Raw Data'!$B$2:$B$222,'Raw Data'!$G$2:$G$222,A28)</f>
        <v>46165</v>
      </c>
      <c r="C28" s="15">
        <f t="shared" si="0"/>
        <v>21</v>
      </c>
      <c r="D28" s="15">
        <f>COUNTIFS('Raw Data'!$G$2:$G$222,A28)</f>
        <v>7</v>
      </c>
      <c r="E28" s="16">
        <f>SUMIFS('Raw Data'!$K$2:$K$222,'Raw Data'!$G$2:$G$222,A28)</f>
        <v>26487</v>
      </c>
      <c r="F28" s="15" t="str">
        <f t="shared" si="1"/>
        <v>Champion</v>
      </c>
      <c r="G28" s="15" t="str">
        <f t="shared" si="2"/>
        <v>Low</v>
      </c>
    </row>
    <row r="29" spans="1:7" x14ac:dyDescent="0.35">
      <c r="A29" s="15" t="s">
        <v>142</v>
      </c>
      <c r="B29" s="20">
        <f>_xlfn.MAXIFS('Raw Data'!$B$2:$B$222,'Raw Data'!$G$2:$G$222,A29)</f>
        <v>46139</v>
      </c>
      <c r="C29" s="15">
        <f t="shared" si="0"/>
        <v>47</v>
      </c>
      <c r="D29" s="15">
        <f>COUNTIFS('Raw Data'!$G$2:$G$222,A29)</f>
        <v>4</v>
      </c>
      <c r="E29" s="16">
        <f>SUMIFS('Raw Data'!$K$2:$K$222,'Raw Data'!$G$2:$G$222,A29)</f>
        <v>16994</v>
      </c>
      <c r="F29" s="15" t="str">
        <f t="shared" si="1"/>
        <v>Potential Loyalist</v>
      </c>
      <c r="G29" s="15" t="str">
        <f t="shared" si="2"/>
        <v>Medium</v>
      </c>
    </row>
    <row r="30" spans="1:7" x14ac:dyDescent="0.35">
      <c r="A30" s="15" t="s">
        <v>159</v>
      </c>
      <c r="B30" s="20">
        <f>_xlfn.MAXIFS('Raw Data'!$B$2:$B$222,'Raw Data'!$G$2:$G$222,A30)</f>
        <v>46111</v>
      </c>
      <c r="C30" s="15">
        <f t="shared" si="0"/>
        <v>75</v>
      </c>
      <c r="D30" s="15">
        <f>COUNTIFS('Raw Data'!$G$2:$G$222,A30)</f>
        <v>2</v>
      </c>
      <c r="E30" s="16">
        <f>SUMIFS('Raw Data'!$K$2:$K$222,'Raw Data'!$G$2:$G$222,A30)</f>
        <v>12996</v>
      </c>
      <c r="F30" s="15" t="str">
        <f t="shared" si="1"/>
        <v>At Risk</v>
      </c>
      <c r="G30" s="15" t="str">
        <f t="shared" si="2"/>
        <v>High</v>
      </c>
    </row>
    <row r="31" spans="1:7" x14ac:dyDescent="0.35">
      <c r="A31" s="15" t="s">
        <v>119</v>
      </c>
      <c r="B31" s="20">
        <f>_xlfn.MAXIFS('Raw Data'!$B$2:$B$222,'Raw Data'!$G$2:$G$222,A31)</f>
        <v>46123</v>
      </c>
      <c r="C31" s="15">
        <f t="shared" si="0"/>
        <v>63</v>
      </c>
      <c r="D31" s="15">
        <f>COUNTIFS('Raw Data'!$G$2:$G$222,A31)</f>
        <v>4</v>
      </c>
      <c r="E31" s="16">
        <f>SUMIFS('Raw Data'!$K$2:$K$222,'Raw Data'!$G$2:$G$222,A31)</f>
        <v>18293</v>
      </c>
      <c r="F31" s="15" t="str">
        <f t="shared" si="1"/>
        <v>At Risk</v>
      </c>
      <c r="G31" s="15" t="str">
        <f t="shared" si="2"/>
        <v>High</v>
      </c>
    </row>
    <row r="32" spans="1:7" x14ac:dyDescent="0.35">
      <c r="A32" s="15" t="s">
        <v>193</v>
      </c>
      <c r="B32" s="20">
        <f>_xlfn.MAXIFS('Raw Data'!$B$2:$B$222,'Raw Data'!$G$2:$G$222,A32)</f>
        <v>46170</v>
      </c>
      <c r="C32" s="15">
        <f t="shared" si="0"/>
        <v>16</v>
      </c>
      <c r="D32" s="15">
        <f>COUNTIFS('Raw Data'!$G$2:$G$222,A32)</f>
        <v>3</v>
      </c>
      <c r="E32" s="16">
        <f>SUMIFS('Raw Data'!$K$2:$K$222,'Raw Data'!$G$2:$G$222,A32)</f>
        <v>9993</v>
      </c>
      <c r="F32" s="15" t="str">
        <f t="shared" si="1"/>
        <v>Potential Loyalist</v>
      </c>
      <c r="G32" s="15" t="str">
        <f t="shared" si="2"/>
        <v>Low</v>
      </c>
    </row>
    <row r="33" spans="1:7" x14ac:dyDescent="0.35">
      <c r="A33" s="15" t="s">
        <v>228</v>
      </c>
      <c r="B33" s="20">
        <f>_xlfn.MAXIFS('Raw Data'!$B$2:$B$222,'Raw Data'!$G$2:$G$222,A33)</f>
        <v>46175</v>
      </c>
      <c r="C33" s="15">
        <f t="shared" si="0"/>
        <v>11</v>
      </c>
      <c r="D33" s="15">
        <f>COUNTIFS('Raw Data'!$G$2:$G$222,A33)</f>
        <v>3</v>
      </c>
      <c r="E33" s="16">
        <f>SUMIFS('Raw Data'!$K$2:$K$222,'Raw Data'!$G$2:$G$222,A33)</f>
        <v>18493</v>
      </c>
      <c r="F33" s="15" t="str">
        <f t="shared" si="1"/>
        <v>Potential Loyalist</v>
      </c>
      <c r="G33" s="15" t="str">
        <f t="shared" si="2"/>
        <v>Low</v>
      </c>
    </row>
    <row r="34" spans="1:7" x14ac:dyDescent="0.35">
      <c r="A34" s="15" t="s">
        <v>90</v>
      </c>
      <c r="B34" s="20">
        <f>_xlfn.MAXIFS('Raw Data'!$B$2:$B$222,'Raw Data'!$G$2:$G$222,A34)</f>
        <v>46175</v>
      </c>
      <c r="C34" s="15">
        <f t="shared" si="0"/>
        <v>11</v>
      </c>
      <c r="D34" s="15">
        <f>COUNTIFS('Raw Data'!$G$2:$G$222,A34)</f>
        <v>4</v>
      </c>
      <c r="E34" s="16">
        <f>SUMIFS('Raw Data'!$K$2:$K$222,'Raw Data'!$G$2:$G$222,A34)</f>
        <v>9593</v>
      </c>
      <c r="F34" s="15" t="str">
        <f t="shared" si="1"/>
        <v>Loyal</v>
      </c>
      <c r="G34" s="15" t="str">
        <f t="shared" si="2"/>
        <v>Low</v>
      </c>
    </row>
    <row r="35" spans="1:7" x14ac:dyDescent="0.35">
      <c r="A35" s="15" t="s">
        <v>27</v>
      </c>
      <c r="B35" s="20">
        <f>_xlfn.MAXIFS('Raw Data'!$B$2:$B$222,'Raw Data'!$G$2:$G$222,A35)</f>
        <v>46179</v>
      </c>
      <c r="C35" s="15">
        <f t="shared" si="0"/>
        <v>7</v>
      </c>
      <c r="D35" s="15">
        <f>COUNTIFS('Raw Data'!$G$2:$G$222,A35)</f>
        <v>11</v>
      </c>
      <c r="E35" s="16">
        <f>SUMIFS('Raw Data'!$K$2:$K$222,'Raw Data'!$G$2:$G$222,A35)</f>
        <v>53779</v>
      </c>
      <c r="F35" s="15" t="str">
        <f t="shared" si="1"/>
        <v>Champion</v>
      </c>
      <c r="G35" s="15" t="str">
        <f t="shared" si="2"/>
        <v>Low</v>
      </c>
    </row>
    <row r="36" spans="1:7" x14ac:dyDescent="0.35">
      <c r="A36" s="15" t="s">
        <v>99</v>
      </c>
      <c r="B36" s="20">
        <f>_xlfn.MAXIFS('Raw Data'!$B$2:$B$222,'Raw Data'!$G$2:$G$222,A36)</f>
        <v>46141</v>
      </c>
      <c r="C36" s="15">
        <f t="shared" si="0"/>
        <v>45</v>
      </c>
      <c r="D36" s="15">
        <f>COUNTIFS('Raw Data'!$G$2:$G$222,A36)</f>
        <v>7</v>
      </c>
      <c r="E36" s="16">
        <f>SUMIFS('Raw Data'!$K$2:$K$222,'Raw Data'!$G$2:$G$222,A36)</f>
        <v>20090</v>
      </c>
      <c r="F36" s="15" t="str">
        <f t="shared" si="1"/>
        <v>Loyal</v>
      </c>
      <c r="G36" s="15" t="str">
        <f t="shared" si="2"/>
        <v>Medium</v>
      </c>
    </row>
    <row r="37" spans="1:7" x14ac:dyDescent="0.35">
      <c r="A37" s="15" t="s">
        <v>110</v>
      </c>
      <c r="B37" s="20">
        <f>_xlfn.MAXIFS('Raw Data'!$B$2:$B$222,'Raw Data'!$G$2:$G$222,A37)</f>
        <v>46179</v>
      </c>
      <c r="C37" s="15">
        <f t="shared" si="0"/>
        <v>7</v>
      </c>
      <c r="D37" s="15">
        <f>COUNTIFS('Raw Data'!$G$2:$G$222,A37)</f>
        <v>4</v>
      </c>
      <c r="E37" s="16">
        <f>SUMIFS('Raw Data'!$K$2:$K$222,'Raw Data'!$G$2:$G$222,A37)</f>
        <v>7494</v>
      </c>
      <c r="F37" s="15" t="str">
        <f t="shared" si="1"/>
        <v>Loyal</v>
      </c>
      <c r="G37" s="15" t="str">
        <f t="shared" si="2"/>
        <v>Low</v>
      </c>
    </row>
    <row r="38" spans="1:7" x14ac:dyDescent="0.35">
      <c r="A38" s="15" t="s">
        <v>76</v>
      </c>
      <c r="B38" s="20">
        <f>_xlfn.MAXIFS('Raw Data'!$B$2:$B$222,'Raw Data'!$G$2:$G$222,A38)</f>
        <v>46162</v>
      </c>
      <c r="C38" s="15">
        <f t="shared" si="0"/>
        <v>24</v>
      </c>
      <c r="D38" s="15">
        <f>COUNTIFS('Raw Data'!$G$2:$G$222,A38)</f>
        <v>4</v>
      </c>
      <c r="E38" s="16">
        <f>SUMIFS('Raw Data'!$K$2:$K$222,'Raw Data'!$G$2:$G$222,A38)</f>
        <v>13293</v>
      </c>
      <c r="F38" s="15" t="str">
        <f t="shared" si="1"/>
        <v>Loyal</v>
      </c>
      <c r="G38" s="15" t="str">
        <f t="shared" si="2"/>
        <v>Low</v>
      </c>
    </row>
    <row r="39" spans="1:7" x14ac:dyDescent="0.35">
      <c r="A39" s="15" t="s">
        <v>185</v>
      </c>
      <c r="B39" s="20">
        <f>_xlfn.MAXIFS('Raw Data'!$B$2:$B$222,'Raw Data'!$G$2:$G$222,A39)</f>
        <v>46177</v>
      </c>
      <c r="C39" s="15">
        <f t="shared" si="0"/>
        <v>9</v>
      </c>
      <c r="D39" s="15">
        <f>COUNTIFS('Raw Data'!$G$2:$G$222,A39)</f>
        <v>3</v>
      </c>
      <c r="E39" s="16">
        <f>SUMIFS('Raw Data'!$K$2:$K$222,'Raw Data'!$G$2:$G$222,A39)</f>
        <v>8095</v>
      </c>
      <c r="F39" s="15" t="str">
        <f t="shared" si="1"/>
        <v>Potential Loyalist</v>
      </c>
      <c r="G39" s="15" t="str">
        <f t="shared" si="2"/>
        <v>Low</v>
      </c>
    </row>
    <row r="40" spans="1:7" x14ac:dyDescent="0.35">
      <c r="A40" s="15" t="s">
        <v>48</v>
      </c>
      <c r="B40" s="20">
        <f>_xlfn.MAXIFS('Raw Data'!$B$2:$B$222,'Raw Data'!$G$2:$G$222,A40)</f>
        <v>46174</v>
      </c>
      <c r="C40" s="15">
        <f t="shared" si="0"/>
        <v>12</v>
      </c>
      <c r="D40" s="15">
        <f>COUNTIFS('Raw Data'!$G$2:$G$222,A40)</f>
        <v>5</v>
      </c>
      <c r="E40" s="16">
        <f>SUMIFS('Raw Data'!$K$2:$K$222,'Raw Data'!$G$2:$G$222,A40)</f>
        <v>27490</v>
      </c>
      <c r="F40" s="15" t="str">
        <f t="shared" si="1"/>
        <v>Loyal</v>
      </c>
      <c r="G40" s="15" t="str">
        <f t="shared" si="2"/>
        <v>Low</v>
      </c>
    </row>
    <row r="41" spans="1:7" x14ac:dyDescent="0.35">
      <c r="A41" s="15" t="s">
        <v>70</v>
      </c>
      <c r="B41" s="20">
        <f>_xlfn.MAXIFS('Raw Data'!$B$2:$B$222,'Raw Data'!$G$2:$G$222,A41)</f>
        <v>46105</v>
      </c>
      <c r="C41" s="15">
        <f t="shared" si="0"/>
        <v>81</v>
      </c>
      <c r="D41" s="15">
        <f>COUNTIFS('Raw Data'!$G$2:$G$222,A41)</f>
        <v>6</v>
      </c>
      <c r="E41" s="16">
        <f>SUMIFS('Raw Data'!$K$2:$K$222,'Raw Data'!$G$2:$G$222,A41)</f>
        <v>16991</v>
      </c>
      <c r="F41" s="15" t="str">
        <f t="shared" si="1"/>
        <v>Lost</v>
      </c>
      <c r="G41" s="15" t="str">
        <f t="shared" si="2"/>
        <v>High</v>
      </c>
    </row>
    <row r="42" spans="1:7" x14ac:dyDescent="0.35">
      <c r="A42" s="15" t="s">
        <v>34</v>
      </c>
      <c r="B42" s="20">
        <f>_xlfn.MAXIFS('Raw Data'!$B$2:$B$222,'Raw Data'!$G$2:$G$222,A42)</f>
        <v>46167</v>
      </c>
      <c r="C42" s="15">
        <f t="shared" si="0"/>
        <v>19</v>
      </c>
      <c r="D42" s="15">
        <f>COUNTIFS('Raw Data'!$G$2:$G$222,A42)</f>
        <v>6</v>
      </c>
      <c r="E42" s="16">
        <f>SUMIFS('Raw Data'!$K$2:$K$222,'Raw Data'!$G$2:$G$222,A42)</f>
        <v>28989</v>
      </c>
      <c r="F42" s="15" t="str">
        <f t="shared" si="1"/>
        <v>Champion</v>
      </c>
      <c r="G42" s="15" t="str">
        <f t="shared" si="2"/>
        <v>Low</v>
      </c>
    </row>
    <row r="43" spans="1:7" x14ac:dyDescent="0.35">
      <c r="A43" s="15" t="s">
        <v>62</v>
      </c>
      <c r="B43" s="20">
        <f>_xlfn.MAXIFS('Raw Data'!$B$2:$B$222,'Raw Data'!$G$2:$G$222,A43)</f>
        <v>46123</v>
      </c>
      <c r="C43" s="15">
        <f t="shared" si="0"/>
        <v>63</v>
      </c>
      <c r="D43" s="15">
        <f>COUNTIFS('Raw Data'!$G$2:$G$222,A43)</f>
        <v>2</v>
      </c>
      <c r="E43" s="16">
        <f>SUMIFS('Raw Data'!$K$2:$K$222,'Raw Data'!$G$2:$G$222,A43)</f>
        <v>12495</v>
      </c>
      <c r="F43" s="15" t="str">
        <f t="shared" si="1"/>
        <v>At Risk</v>
      </c>
      <c r="G43" s="15" t="str">
        <f t="shared" si="2"/>
        <v>High</v>
      </c>
    </row>
    <row r="44" spans="1:7" x14ac:dyDescent="0.35">
      <c r="A44" s="15" t="s">
        <v>22</v>
      </c>
      <c r="B44" s="20">
        <f>_xlfn.MAXIFS('Raw Data'!$B$2:$B$222,'Raw Data'!$G$2:$G$222,A44)</f>
        <v>46150</v>
      </c>
      <c r="C44" s="15">
        <f t="shared" si="0"/>
        <v>36</v>
      </c>
      <c r="D44" s="15">
        <f>COUNTIFS('Raw Data'!$G$2:$G$222,A44)</f>
        <v>5</v>
      </c>
      <c r="E44" s="16">
        <f>SUMIFS('Raw Data'!$K$2:$K$222,'Raw Data'!$G$2:$G$222,A44)</f>
        <v>12292</v>
      </c>
      <c r="F44" s="15" t="str">
        <f t="shared" si="1"/>
        <v>Loyal</v>
      </c>
      <c r="G44" s="15" t="str">
        <f t="shared" si="2"/>
        <v>Medium</v>
      </c>
    </row>
    <row r="45" spans="1:7" x14ac:dyDescent="0.35">
      <c r="A45" s="15" t="s">
        <v>121</v>
      </c>
      <c r="B45" s="20">
        <f>_xlfn.MAXIFS('Raw Data'!$B$2:$B$222,'Raw Data'!$G$2:$G$222,A45)</f>
        <v>46128</v>
      </c>
      <c r="C45" s="15">
        <f t="shared" si="0"/>
        <v>58</v>
      </c>
      <c r="D45" s="15">
        <f>COUNTIFS('Raw Data'!$G$2:$G$222,A45)</f>
        <v>6</v>
      </c>
      <c r="E45" s="16">
        <f>SUMIFS('Raw Data'!$K$2:$K$222,'Raw Data'!$G$2:$G$222,A45)</f>
        <v>12788</v>
      </c>
      <c r="F45" s="15" t="str">
        <f t="shared" si="1"/>
        <v>Potential Loyalist</v>
      </c>
      <c r="G45" s="15" t="str">
        <f t="shared" si="2"/>
        <v>Medium</v>
      </c>
    </row>
    <row r="46" spans="1:7" x14ac:dyDescent="0.35">
      <c r="A46" s="15" t="s">
        <v>31</v>
      </c>
      <c r="B46" s="20">
        <f>_xlfn.MAXIFS('Raw Data'!$B$2:$B$222,'Raw Data'!$G$2:$G$222,A46)</f>
        <v>46182</v>
      </c>
      <c r="C46" s="15">
        <f t="shared" si="0"/>
        <v>4</v>
      </c>
      <c r="D46" s="15">
        <f>COUNTIFS('Raw Data'!$G$2:$G$222,A46)</f>
        <v>8</v>
      </c>
      <c r="E46" s="16">
        <f>SUMIFS('Raw Data'!$K$2:$K$222,'Raw Data'!$G$2:$G$222,A46)</f>
        <v>39584</v>
      </c>
      <c r="F46" s="15" t="str">
        <f t="shared" si="1"/>
        <v>Champion</v>
      </c>
      <c r="G46" s="15" t="str">
        <f t="shared" si="2"/>
        <v>Low</v>
      </c>
    </row>
    <row r="47" spans="1:7" x14ac:dyDescent="0.35">
      <c r="A47" s="15" t="s">
        <v>73</v>
      </c>
      <c r="B47" s="20">
        <f>_xlfn.MAXIFS('Raw Data'!$B$2:$B$222,'Raw Data'!$G$2:$G$222,A47)</f>
        <v>46162</v>
      </c>
      <c r="C47" s="15">
        <f t="shared" si="0"/>
        <v>24</v>
      </c>
      <c r="D47" s="15">
        <f>COUNTIFS('Raw Data'!$G$2:$G$222,A47)</f>
        <v>3</v>
      </c>
      <c r="E47" s="16">
        <f>SUMIFS('Raw Data'!$K$2:$K$222,'Raw Data'!$G$2:$G$222,A47)</f>
        <v>8495</v>
      </c>
      <c r="F47" s="15" t="str">
        <f t="shared" si="1"/>
        <v>Potential Loyalist</v>
      </c>
      <c r="G47" s="15" t="str">
        <f t="shared" si="2"/>
        <v>Low</v>
      </c>
    </row>
    <row r="48" spans="1:7" x14ac:dyDescent="0.35">
      <c r="A48" s="15" t="s">
        <v>132</v>
      </c>
      <c r="B48" s="20">
        <f>_xlfn.MAXIFS('Raw Data'!$B$2:$B$222,'Raw Data'!$G$2:$G$222,A48)</f>
        <v>46158</v>
      </c>
      <c r="C48" s="15">
        <f t="shared" si="0"/>
        <v>28</v>
      </c>
      <c r="D48" s="15">
        <f>COUNTIFS('Raw Data'!$G$2:$G$222,A48)</f>
        <v>5</v>
      </c>
      <c r="E48" s="16">
        <f>SUMIFS('Raw Data'!$K$2:$K$222,'Raw Data'!$G$2:$G$222,A48)</f>
        <v>22090</v>
      </c>
      <c r="F48" s="15" t="str">
        <f t="shared" si="1"/>
        <v>Loyal</v>
      </c>
      <c r="G48" s="15" t="str">
        <f t="shared" si="2"/>
        <v>Low</v>
      </c>
    </row>
    <row r="49" spans="1:7" x14ac:dyDescent="0.35">
      <c r="A49" s="15" t="s">
        <v>52</v>
      </c>
      <c r="B49" s="20">
        <f>_xlfn.MAXIFS('Raw Data'!$B$2:$B$222,'Raw Data'!$G$2:$G$222,A49)</f>
        <v>46172</v>
      </c>
      <c r="C49" s="15">
        <f t="shared" si="0"/>
        <v>14</v>
      </c>
      <c r="D49" s="15">
        <f>COUNTIFS('Raw Data'!$G$2:$G$222,A49)</f>
        <v>5</v>
      </c>
      <c r="E49" s="16">
        <f>SUMIFS('Raw Data'!$K$2:$K$222,'Raw Data'!$G$2:$G$222,A49)</f>
        <v>13092</v>
      </c>
      <c r="F49" s="15" t="str">
        <f t="shared" si="1"/>
        <v>Loyal</v>
      </c>
      <c r="G49" s="15" t="str">
        <f t="shared" si="2"/>
        <v>Low</v>
      </c>
    </row>
    <row r="50" spans="1:7" x14ac:dyDescent="0.35">
      <c r="A50" s="15" t="s">
        <v>165</v>
      </c>
      <c r="B50" s="20">
        <f>_xlfn.MAXIFS('Raw Data'!$B$2:$B$222,'Raw Data'!$G$2:$G$222,A50)</f>
        <v>46184</v>
      </c>
      <c r="C50" s="15">
        <f t="shared" si="0"/>
        <v>2</v>
      </c>
      <c r="D50" s="15">
        <f>COUNTIFS('Raw Data'!$G$2:$G$222,A50)</f>
        <v>5</v>
      </c>
      <c r="E50" s="16">
        <f>SUMIFS('Raw Data'!$K$2:$K$222,'Raw Data'!$G$2:$G$222,A50)</f>
        <v>13893</v>
      </c>
      <c r="F50" s="15" t="str">
        <f t="shared" si="1"/>
        <v>Loyal</v>
      </c>
      <c r="G50" s="15" t="str">
        <f t="shared" si="2"/>
        <v>Low</v>
      </c>
    </row>
    <row r="53" spans="1:7" x14ac:dyDescent="0.35">
      <c r="A53" s="17" t="s">
        <v>335</v>
      </c>
    </row>
    <row r="54" spans="1:7" x14ac:dyDescent="0.35">
      <c r="A54" s="21" t="s">
        <v>336</v>
      </c>
    </row>
    <row r="55" spans="1:7" x14ac:dyDescent="0.35">
      <c r="A55" s="21" t="s">
        <v>337</v>
      </c>
    </row>
    <row r="56" spans="1:7" x14ac:dyDescent="0.35">
      <c r="A56" s="21" t="s">
        <v>338</v>
      </c>
    </row>
    <row r="57" spans="1:7" x14ac:dyDescent="0.35">
      <c r="A57" s="21" t="s">
        <v>339</v>
      </c>
    </row>
    <row r="58" spans="1:7" x14ac:dyDescent="0.35">
      <c r="A58" s="21" t="s">
        <v>340</v>
      </c>
    </row>
    <row r="59" spans="1:7" x14ac:dyDescent="0.35">
      <c r="A59" s="21" t="s">
        <v>341</v>
      </c>
    </row>
  </sheetData>
  <conditionalFormatting sqref="G6:G50">
    <cfRule type="cellIs" dxfId="2" priority="2" operator="equal">
      <formula>"High"</formula>
    </cfRule>
    <cfRule type="cellIs" dxfId="1" priority="3" operator="equal">
      <formula>"Medium"</formula>
    </cfRule>
    <cfRule type="cellIs" dxfId="0" priority="4" operator="equal">
      <formula>"Low"</formula>
    </cfRule>
  </conditionalFormatting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Dashboard</vt:lpstr>
      <vt:lpstr>Raw Data</vt:lpstr>
      <vt:lpstr>Summary</vt:lpstr>
      <vt:lpstr>Customer Segmentation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Dharunika TR</cp:lastModifiedBy>
  <cp:revision>1</cp:revision>
  <dcterms:created xsi:type="dcterms:W3CDTF">2026-08-03T11:54:43Z</dcterms:created>
  <dcterms:modified xsi:type="dcterms:W3CDTF">2026-08-03T12:04:21Z</dcterms:modified>
  <dc:language>en-US</dc:language>
</cp:coreProperties>
</file>